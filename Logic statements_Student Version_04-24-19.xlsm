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nalsis\Excel\"/>
    </mc:Choice>
  </mc:AlternateContent>
  <xr:revisionPtr revIDLastSave="0" documentId="13_ncr:1_{76EC822D-F7DE-4851-ABA3-0D56240C9AF0}" xr6:coauthVersionLast="44" xr6:coauthVersionMax="44" xr10:uidLastSave="{00000000-0000-0000-0000-000000000000}"/>
  <bookViews>
    <workbookView xWindow="-120" yWindow="-120" windowWidth="20730" windowHeight="11310" tabRatio="878" firstSheet="13" activeTab="17" xr2:uid="{00000000-000D-0000-FFFF-FFFF00000000}"/>
  </bookViews>
  <sheets>
    <sheet name="Introduction" sheetId="1" r:id="rId1"/>
    <sheet name="Table of Contents" sheetId="2" r:id="rId2"/>
    <sheet name="Data Set" sheetId="6" r:id="rId3"/>
    <sheet name="Section 1 - COUNTIFS" sheetId="3" r:id="rId4"/>
    <sheet name="Section 1 - COUNTIFS (ANS)" sheetId="10" state="hidden" r:id="rId5"/>
    <sheet name="Section 2 - COUNTIFS (cont'd)" sheetId="12" r:id="rId6"/>
    <sheet name="Section 2 - COUNTIFS (ANS)" sheetId="13" state="hidden" r:id="rId7"/>
    <sheet name="Section 3 - SUMIFS" sheetId="5" r:id="rId8"/>
    <sheet name="Section 3 - SUMIFS (ANS)" sheetId="9" state="hidden" r:id="rId9"/>
    <sheet name="Section 4 - SUMIFS (cont'd)" sheetId="14" r:id="rId10"/>
    <sheet name="Section 4 - SUMIFS (ANS)" sheetId="15" state="hidden" r:id="rId11"/>
    <sheet name="Section 5 - IF" sheetId="16" r:id="rId12"/>
    <sheet name="Section 5 - IF (ANS)" sheetId="17" state="hidden" r:id="rId13"/>
    <sheet name="Section 6 - IF + AND" sheetId="18" r:id="rId14"/>
    <sheet name="Section 6 - IF + AND (ANS)" sheetId="19" state="hidden" r:id="rId15"/>
    <sheet name="Section 7 - IF + OR" sheetId="20" r:id="rId16"/>
    <sheet name="Section 7 - IF + OR (ANS)" sheetId="21" state="hidden" r:id="rId17"/>
    <sheet name="Section 8 - Nested IFs" sheetId="23" r:id="rId18"/>
    <sheet name="Section 8 - Nested IFs (ANS)" sheetId="22" state="hidden" r:id="rId19"/>
  </sheets>
  <externalReferences>
    <externalReference r:id="rId20"/>
  </externalReferences>
  <definedNames>
    <definedName name="_xlnm._FilterDatabase" localSheetId="2" hidden="1">'Data Set'!$B$7:$L$114</definedName>
    <definedName name="D1_Product_Full_Name">'[1]2a. Sales Solutions'!$G$19:$G$125</definedName>
    <definedName name="D1_Quantity_Sold">'Data Set'!$K$19:$K$124</definedName>
    <definedName name="D1_Revenue">'Data Set'!$M$19:$M$124</definedName>
    <definedName name="D2_Product_Lookup_Table">'[1]2b. Product ID'!$C$12:$D$22</definedName>
    <definedName name="DataSet">table_data[#All]</definedName>
    <definedName name="Sales_Data">'Data Set'!$K$19:$K$124</definedName>
    <definedName name="table_problem1B_distributors">table_problem2A[#All]</definedName>
    <definedName name="target_price">'Section 6 - IF + AND'!$C$11</definedName>
    <definedName name="target_revenue">'Section 6 - IF + AND'!$C$13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1" i="23" l="1"/>
  <c r="H32" i="23"/>
  <c r="H33" i="23"/>
  <c r="H34" i="23"/>
  <c r="H35" i="23"/>
  <c r="H12" i="23"/>
  <c r="H13" i="23"/>
  <c r="H14" i="23"/>
  <c r="H15" i="23"/>
  <c r="H16" i="23"/>
  <c r="G27" i="20"/>
  <c r="G28" i="20"/>
  <c r="G29" i="20"/>
  <c r="G30" i="20"/>
  <c r="G31" i="20"/>
  <c r="G12" i="20"/>
  <c r="G13" i="20"/>
  <c r="G14" i="20"/>
  <c r="G15" i="20"/>
  <c r="G16" i="20"/>
  <c r="G31" i="18"/>
  <c r="G32" i="18"/>
  <c r="G33" i="18"/>
  <c r="G34" i="18"/>
  <c r="G35" i="18"/>
  <c r="G16" i="18"/>
  <c r="G17" i="18"/>
  <c r="G18" i="18"/>
  <c r="G19" i="18"/>
  <c r="G20" i="18"/>
  <c r="G27" i="16"/>
  <c r="G28" i="16"/>
  <c r="G29" i="16"/>
  <c r="G30" i="16"/>
  <c r="G31" i="16"/>
  <c r="G14" i="16"/>
  <c r="G15" i="16"/>
  <c r="G16" i="16"/>
  <c r="G17" i="16"/>
  <c r="G18" i="16"/>
  <c r="D42" i="14"/>
  <c r="D43" i="14"/>
  <c r="D44" i="14"/>
  <c r="D45" i="14"/>
  <c r="D46" i="14"/>
  <c r="D47" i="14"/>
  <c r="D48" i="14"/>
  <c r="D49" i="14"/>
  <c r="D50" i="14"/>
  <c r="D51" i="14"/>
  <c r="E24" i="14"/>
  <c r="E25" i="14"/>
  <c r="E26" i="14"/>
  <c r="E27" i="14"/>
  <c r="E28" i="14"/>
  <c r="E29" i="14"/>
  <c r="E30" i="14"/>
  <c r="E31" i="14"/>
  <c r="E32" i="14"/>
  <c r="E33" i="14"/>
  <c r="E23" i="14"/>
  <c r="D23" i="14"/>
  <c r="D24" i="14"/>
  <c r="D25" i="14"/>
  <c r="D26" i="14"/>
  <c r="D27" i="14"/>
  <c r="D28" i="14"/>
  <c r="D29" i="14"/>
  <c r="D30" i="14"/>
  <c r="D31" i="14"/>
  <c r="D32" i="14"/>
  <c r="D33" i="14"/>
  <c r="C23" i="14"/>
  <c r="C24" i="14"/>
  <c r="C25" i="14"/>
  <c r="C26" i="14"/>
  <c r="C27" i="14"/>
  <c r="C28" i="14"/>
  <c r="C29" i="14"/>
  <c r="C30" i="14"/>
  <c r="C31" i="14"/>
  <c r="C32" i="14"/>
  <c r="C33" i="14"/>
  <c r="C12" i="14"/>
  <c r="C13" i="14"/>
  <c r="C14" i="14"/>
  <c r="F55" i="5"/>
  <c r="E55" i="5"/>
  <c r="D55" i="5"/>
  <c r="C55" i="5"/>
  <c r="C41" i="5"/>
  <c r="C33" i="5"/>
  <c r="C14" i="5"/>
  <c r="C15" i="5"/>
  <c r="C16" i="5"/>
  <c r="C17" i="5"/>
  <c r="C18" i="5"/>
  <c r="C19" i="5"/>
  <c r="C20" i="5"/>
  <c r="C21" i="5"/>
  <c r="C22" i="5"/>
  <c r="C23" i="5"/>
  <c r="C24" i="5"/>
  <c r="D36" i="12"/>
  <c r="D37" i="12"/>
  <c r="D38" i="12"/>
  <c r="D39" i="12"/>
  <c r="D40" i="12"/>
  <c r="D41" i="12"/>
  <c r="D42" i="12"/>
  <c r="D43" i="12"/>
  <c r="D44" i="12"/>
  <c r="D45" i="12"/>
  <c r="C14" i="12"/>
  <c r="C15" i="12"/>
  <c r="C16" i="12"/>
  <c r="C25" i="12"/>
  <c r="C26" i="12"/>
  <c r="C27" i="12"/>
  <c r="F50" i="3"/>
  <c r="E50" i="3"/>
  <c r="D50" i="3"/>
  <c r="C50" i="3"/>
  <c r="C38" i="3"/>
  <c r="C39" i="3"/>
  <c r="C40" i="3"/>
  <c r="F30" i="3"/>
  <c r="E30" i="3"/>
  <c r="D30" i="3"/>
  <c r="C30" i="3"/>
  <c r="C29" i="10"/>
  <c r="C13" i="10"/>
  <c r="C12" i="3"/>
  <c r="C13" i="3"/>
  <c r="C14" i="3"/>
  <c r="C15" i="3"/>
  <c r="C16" i="3"/>
  <c r="C17" i="3"/>
  <c r="C18" i="3"/>
  <c r="C19" i="3"/>
  <c r="C20" i="3"/>
  <c r="C21" i="3"/>
  <c r="C22" i="3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D55" i="9"/>
  <c r="E55" i="9"/>
  <c r="G28" i="17"/>
  <c r="G29" i="17"/>
  <c r="G30" i="17"/>
  <c r="G31" i="17"/>
  <c r="G27" i="17"/>
  <c r="H35" i="22"/>
  <c r="H34" i="22"/>
  <c r="H33" i="22"/>
  <c r="H32" i="22"/>
  <c r="H31" i="22"/>
  <c r="A3" i="18"/>
  <c r="A2" i="18"/>
  <c r="A1" i="18"/>
  <c r="A3" i="19"/>
  <c r="A2" i="19"/>
  <c r="A1" i="19"/>
  <c r="A3" i="20"/>
  <c r="A2" i="20"/>
  <c r="A1" i="20"/>
  <c r="A3" i="21"/>
  <c r="A2" i="21"/>
  <c r="A1" i="21"/>
  <c r="A3" i="23"/>
  <c r="A2" i="23"/>
  <c r="A1" i="23"/>
  <c r="A3" i="22"/>
  <c r="A2" i="22"/>
  <c r="A1" i="22"/>
  <c r="A3" i="17"/>
  <c r="A2" i="17"/>
  <c r="A1" i="17"/>
  <c r="A3" i="16"/>
  <c r="A2" i="16"/>
  <c r="A1" i="16"/>
  <c r="C25" i="13"/>
  <c r="C24" i="13"/>
  <c r="C23" i="13"/>
  <c r="C16" i="13"/>
  <c r="C15" i="13"/>
  <c r="C14" i="13"/>
  <c r="C38" i="10"/>
  <c r="C37" i="10"/>
  <c r="C36" i="10"/>
  <c r="C44" i="10"/>
  <c r="D44" i="10"/>
  <c r="E44" i="10"/>
  <c r="F44" i="10"/>
  <c r="D23" i="10"/>
  <c r="F29" i="10"/>
  <c r="C12" i="15"/>
  <c r="C13" i="15"/>
  <c r="C14" i="15"/>
  <c r="C23" i="15"/>
  <c r="D23" i="15"/>
  <c r="E23" i="15"/>
  <c r="C24" i="15"/>
  <c r="D24" i="15"/>
  <c r="E24" i="15"/>
  <c r="C25" i="15"/>
  <c r="D25" i="15"/>
  <c r="E25" i="15"/>
  <c r="C26" i="15"/>
  <c r="D26" i="15"/>
  <c r="E26" i="15"/>
  <c r="C27" i="15"/>
  <c r="D27" i="15"/>
  <c r="E27" i="15"/>
  <c r="C28" i="15"/>
  <c r="D28" i="15"/>
  <c r="E28" i="15"/>
  <c r="C29" i="15"/>
  <c r="D29" i="15"/>
  <c r="E29" i="15"/>
  <c r="C30" i="15"/>
  <c r="D30" i="15"/>
  <c r="E30" i="15"/>
  <c r="C31" i="15"/>
  <c r="D31" i="15"/>
  <c r="E31" i="15"/>
  <c r="C32" i="15"/>
  <c r="D32" i="15"/>
  <c r="E32" i="15"/>
  <c r="C33" i="15"/>
  <c r="D33" i="15"/>
  <c r="E33" i="15"/>
  <c r="C14" i="10"/>
  <c r="C15" i="10"/>
  <c r="C16" i="10"/>
  <c r="C17" i="10"/>
  <c r="C18" i="10"/>
  <c r="C19" i="10"/>
  <c r="C20" i="10"/>
  <c r="C21" i="10"/>
  <c r="C22" i="10"/>
  <c r="C23" i="10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H12" i="22"/>
  <c r="G27" i="21"/>
  <c r="G31" i="19"/>
  <c r="G16" i="19"/>
  <c r="G14" i="17"/>
  <c r="D34" i="13"/>
  <c r="C55" i="9"/>
  <c r="F55" i="9"/>
  <c r="F33" i="9"/>
  <c r="E33" i="9"/>
  <c r="C33" i="9"/>
  <c r="D33" i="9"/>
  <c r="C14" i="9"/>
  <c r="E29" i="10"/>
  <c r="D29" i="10"/>
  <c r="D42" i="15"/>
  <c r="D35" i="13"/>
  <c r="H16" i="22"/>
  <c r="H15" i="22"/>
  <c r="H14" i="22"/>
  <c r="H13" i="22"/>
  <c r="G31" i="21"/>
  <c r="G30" i="21"/>
  <c r="G29" i="21"/>
  <c r="G28" i="21"/>
  <c r="G16" i="21"/>
  <c r="G15" i="21"/>
  <c r="G14" i="21"/>
  <c r="G13" i="21"/>
  <c r="G12" i="21"/>
  <c r="G35" i="19"/>
  <c r="G34" i="19"/>
  <c r="G33" i="19"/>
  <c r="G32" i="19"/>
  <c r="G20" i="19"/>
  <c r="G19" i="19"/>
  <c r="G18" i="19"/>
  <c r="G17" i="19"/>
  <c r="G18" i="17"/>
  <c r="G17" i="17"/>
  <c r="G16" i="17"/>
  <c r="G15" i="17"/>
  <c r="C41" i="9"/>
  <c r="D18" i="9"/>
  <c r="D17" i="10"/>
  <c r="D21" i="10"/>
  <c r="D16" i="9"/>
  <c r="D24" i="9"/>
  <c r="D16" i="10"/>
  <c r="D19" i="9"/>
  <c r="D18" i="10"/>
  <c r="D22" i="10"/>
  <c r="D15" i="10"/>
  <c r="D20" i="9"/>
  <c r="D19" i="10"/>
  <c r="D14" i="10"/>
  <c r="D21" i="9"/>
  <c r="D20" i="10"/>
  <c r="D23" i="9"/>
  <c r="D17" i="9"/>
  <c r="D22" i="9"/>
  <c r="D13" i="10"/>
  <c r="D15" i="9"/>
  <c r="D14" i="9"/>
  <c r="D46" i="15"/>
  <c r="D43" i="15"/>
  <c r="D50" i="15"/>
  <c r="D49" i="15"/>
  <c r="D48" i="15"/>
  <c r="D47" i="15"/>
  <c r="D45" i="15"/>
  <c r="D44" i="15"/>
  <c r="D51" i="15"/>
  <c r="D37" i="13"/>
  <c r="D39" i="13"/>
  <c r="D43" i="13"/>
  <c r="D40" i="13"/>
  <c r="D41" i="13"/>
  <c r="D36" i="13"/>
  <c r="D42" i="13"/>
  <c r="D38" i="13"/>
  <c r="C24" i="9"/>
  <c r="C20" i="9"/>
  <c r="C17" i="9"/>
  <c r="C19" i="9"/>
  <c r="C18" i="9"/>
  <c r="C15" i="9"/>
  <c r="C22" i="9"/>
  <c r="C16" i="9"/>
  <c r="C23" i="9"/>
  <c r="C21" i="9"/>
  <c r="A3" i="15"/>
  <c r="A2" i="15"/>
  <c r="A1" i="15"/>
  <c r="A3" i="14"/>
  <c r="A2" i="14"/>
  <c r="A1" i="14"/>
  <c r="A3" i="13"/>
  <c r="A2" i="13"/>
  <c r="A1" i="13"/>
  <c r="A3" i="12"/>
  <c r="A2" i="12"/>
  <c r="A1" i="12"/>
  <c r="A3" i="10"/>
  <c r="A2" i="10"/>
  <c r="A1" i="10"/>
  <c r="A3" i="9"/>
  <c r="A2" i="9"/>
  <c r="A1" i="9"/>
  <c r="A3" i="6"/>
  <c r="A2" i="6"/>
  <c r="A1" i="6"/>
  <c r="A3" i="5"/>
  <c r="A2" i="5"/>
  <c r="A1" i="5"/>
  <c r="A3" i="3"/>
  <c r="A2" i="3"/>
  <c r="A1" i="3"/>
</calcChain>
</file>

<file path=xl/sharedStrings.xml><?xml version="1.0" encoding="utf-8"?>
<sst xmlns="http://schemas.openxmlformats.org/spreadsheetml/2006/main" count="1288" uniqueCount="376">
  <si>
    <t>Section</t>
  </si>
  <si>
    <t>Description</t>
  </si>
  <si>
    <t>Contained in Workbook</t>
  </si>
  <si>
    <t>Data Set</t>
  </si>
  <si>
    <t>Name of External Referenced File</t>
  </si>
  <si>
    <t>Y</t>
  </si>
  <si>
    <t>SUMIFS</t>
  </si>
  <si>
    <t>Section 4 - SUMIFS (ANS)</t>
  </si>
  <si>
    <t>Distributor ID</t>
  </si>
  <si>
    <t>Distributor Name</t>
  </si>
  <si>
    <t>Country</t>
  </si>
  <si>
    <t>Product Code</t>
  </si>
  <si>
    <t>Sales Channel</t>
  </si>
  <si>
    <t>Date Sold</t>
  </si>
  <si>
    <t>Month Sold</t>
  </si>
  <si>
    <t>Quantity</t>
  </si>
  <si>
    <t>Unit Price</t>
  </si>
  <si>
    <t>Revenue</t>
  </si>
  <si>
    <t>Devin Abbott</t>
  </si>
  <si>
    <t>France</t>
  </si>
  <si>
    <t>SUPA105</t>
  </si>
  <si>
    <t>Online</t>
  </si>
  <si>
    <t>Aphrodite Brennan</t>
  </si>
  <si>
    <t>Malawi</t>
  </si>
  <si>
    <t>Direct</t>
  </si>
  <si>
    <t>Guinevere Key</t>
  </si>
  <si>
    <t>Colombia</t>
  </si>
  <si>
    <t>Retail</t>
  </si>
  <si>
    <t>Zahir Fields</t>
  </si>
  <si>
    <t>Canada</t>
  </si>
  <si>
    <t>Deacon Craig</t>
  </si>
  <si>
    <t>Mongolia</t>
  </si>
  <si>
    <t>Brynne Mcgowan</t>
  </si>
  <si>
    <t>Finland</t>
  </si>
  <si>
    <t>Lani Sweet</t>
  </si>
  <si>
    <t>Vanuatu</t>
  </si>
  <si>
    <t>Noble Warner</t>
  </si>
  <si>
    <t>Burkina Faso</t>
  </si>
  <si>
    <t>SUPA104</t>
  </si>
  <si>
    <t>Levi Douglas</t>
  </si>
  <si>
    <t>Tanzania, United Republic of</t>
  </si>
  <si>
    <t>DETA800</t>
  </si>
  <si>
    <t>Jelani Odonnell</t>
  </si>
  <si>
    <t>Albania</t>
  </si>
  <si>
    <t>Jared Sandoval</t>
  </si>
  <si>
    <t>Botswana</t>
  </si>
  <si>
    <t>Hiroko Acevedo</t>
  </si>
  <si>
    <t>Burundi</t>
  </si>
  <si>
    <t>Rhona Clarke</t>
  </si>
  <si>
    <t>Zimbabwe</t>
  </si>
  <si>
    <t>Tad Mack</t>
  </si>
  <si>
    <t>Iceland</t>
  </si>
  <si>
    <t>Rama Goodwin</t>
  </si>
  <si>
    <t>Tunisia</t>
  </si>
  <si>
    <t>Keaton Wolfe</t>
  </si>
  <si>
    <t>French Southern Territories</t>
  </si>
  <si>
    <t>Samuel Ayala</t>
  </si>
  <si>
    <t>Brazil</t>
  </si>
  <si>
    <t>Doris Williams</t>
  </si>
  <si>
    <t>Trinidad and Tobago</t>
  </si>
  <si>
    <t>SUPA103</t>
  </si>
  <si>
    <t>Ingrid Bush</t>
  </si>
  <si>
    <t>Montserrat</t>
  </si>
  <si>
    <t>Nell Maddox</t>
  </si>
  <si>
    <t>Azerbaijan</t>
  </si>
  <si>
    <t>Benedict Byrd</t>
  </si>
  <si>
    <t>Mauritania</t>
  </si>
  <si>
    <t>Ethan Gregory</t>
  </si>
  <si>
    <t>Tuvalu</t>
  </si>
  <si>
    <t>Ursula Mcconnell</t>
  </si>
  <si>
    <t>Hungary</t>
  </si>
  <si>
    <t>Fletcher Jimenez</t>
  </si>
  <si>
    <t>Chad</t>
  </si>
  <si>
    <t>DETA200</t>
  </si>
  <si>
    <t>Isadora Mcclure</t>
  </si>
  <si>
    <t>Indonesia</t>
  </si>
  <si>
    <t>DETA100</t>
  </si>
  <si>
    <t>Liberty Mcbride</t>
  </si>
  <si>
    <t>Fiji</t>
  </si>
  <si>
    <t>Noble Gilbert</t>
  </si>
  <si>
    <t>United States</t>
  </si>
  <si>
    <t>Maxine Gentry</t>
  </si>
  <si>
    <t>Panama</t>
  </si>
  <si>
    <t>Melinda Cobb</t>
  </si>
  <si>
    <t>Uruguay</t>
  </si>
  <si>
    <t>PURA250</t>
  </si>
  <si>
    <t>Yael Carter</t>
  </si>
  <si>
    <t>Malaysia</t>
  </si>
  <si>
    <t>Kay Buckley</t>
  </si>
  <si>
    <t>Malta</t>
  </si>
  <si>
    <t>Athena Fitzpatrick</t>
  </si>
  <si>
    <t>Reunion</t>
  </si>
  <si>
    <t>Joy Vazquez</t>
  </si>
  <si>
    <t>Korea</t>
  </si>
  <si>
    <t>Amery Frazier</t>
  </si>
  <si>
    <t>Georgia</t>
  </si>
  <si>
    <t>Buckminster Hopkins</t>
  </si>
  <si>
    <t>Sierra Leone</t>
  </si>
  <si>
    <t>PURA200</t>
  </si>
  <si>
    <t>George Best</t>
  </si>
  <si>
    <t>Western Sahara</t>
  </si>
  <si>
    <t>Maxwell Parker</t>
  </si>
  <si>
    <t>Falkland Islands (Malvinas)</t>
  </si>
  <si>
    <t>Lance Little</t>
  </si>
  <si>
    <t>Croatia</t>
  </si>
  <si>
    <t>Gwendolyn Walton</t>
  </si>
  <si>
    <t>Cuba</t>
  </si>
  <si>
    <t>SUPA102</t>
  </si>
  <si>
    <t>Isaac Wolf</t>
  </si>
  <si>
    <t>PURA500</t>
  </si>
  <si>
    <t>Celeste Pugh</t>
  </si>
  <si>
    <t>Gabon</t>
  </si>
  <si>
    <t>Oprah Ellis</t>
  </si>
  <si>
    <t>Dominican Republic</t>
  </si>
  <si>
    <t>Emerson Beard</t>
  </si>
  <si>
    <t>Niue</t>
  </si>
  <si>
    <t>Renee Padilla</t>
  </si>
  <si>
    <t>Yemen</t>
  </si>
  <si>
    <t>Maite Henson</t>
  </si>
  <si>
    <t>Bangladesh</t>
  </si>
  <si>
    <t>Ivory Chang</t>
  </si>
  <si>
    <t>Tonga</t>
  </si>
  <si>
    <t>Clark Weaver</t>
  </si>
  <si>
    <t>Palau</t>
  </si>
  <si>
    <t>Ima Cummings</t>
  </si>
  <si>
    <t>Philippines</t>
  </si>
  <si>
    <t>Adria Kaufman</t>
  </si>
  <si>
    <t>Bouvet Island</t>
  </si>
  <si>
    <t>Nyssa Quinn</t>
  </si>
  <si>
    <t>Cocos (Keeling) Islands</t>
  </si>
  <si>
    <t>Amir Alexander</t>
  </si>
  <si>
    <t>Liberia</t>
  </si>
  <si>
    <t>Imogene Bradshaw</t>
  </si>
  <si>
    <t>Niger</t>
  </si>
  <si>
    <t>Gwendolyn Mccarty</t>
  </si>
  <si>
    <t>Madagascar</t>
  </si>
  <si>
    <t>Bell Prince</t>
  </si>
  <si>
    <t>Guinea</t>
  </si>
  <si>
    <t>Katelyn Joseph</t>
  </si>
  <si>
    <t>Slovenia</t>
  </si>
  <si>
    <t>Robert Juarez</t>
  </si>
  <si>
    <t>Svalbard and Jan Mayen</t>
  </si>
  <si>
    <t>Jerry Alvarado</t>
  </si>
  <si>
    <t>Korea, Republic of</t>
  </si>
  <si>
    <t>PURA100</t>
  </si>
  <si>
    <t>India Gilbert</t>
  </si>
  <si>
    <t>Denmark</t>
  </si>
  <si>
    <t>Iliana Porter</t>
  </si>
  <si>
    <t>Poland</t>
  </si>
  <si>
    <t>Deanna Santana</t>
  </si>
  <si>
    <t>Solomon Islands</t>
  </si>
  <si>
    <t>Ivor Mclaughlin</t>
  </si>
  <si>
    <t>United States Minor Outlying Islands</t>
  </si>
  <si>
    <t>Latifah Wall</t>
  </si>
  <si>
    <t>Guadeloupe</t>
  </si>
  <si>
    <t>Anika Tillman</t>
  </si>
  <si>
    <t>Paul Duke</t>
  </si>
  <si>
    <t>Puerto Rico</t>
  </si>
  <si>
    <t>Sawyer Stokes</t>
  </si>
  <si>
    <t>Xerxes Smith</t>
  </si>
  <si>
    <t>Wanda Garza</t>
  </si>
  <si>
    <t>Kyrgyzstan</t>
  </si>
  <si>
    <t>Anjolie Hicks</t>
  </si>
  <si>
    <t>Turks and Caicos Islands</t>
  </si>
  <si>
    <t>Asher Weber</t>
  </si>
  <si>
    <t>Macedonia</t>
  </si>
  <si>
    <t>Mercedes Humphrey</t>
  </si>
  <si>
    <t>Turkey</t>
  </si>
  <si>
    <t>Hayes Rollins</t>
  </si>
  <si>
    <t>Nepal</t>
  </si>
  <si>
    <t>Josiah Yates</t>
  </si>
  <si>
    <t>Winifred Cantu</t>
  </si>
  <si>
    <t>Kazakhstan</t>
  </si>
  <si>
    <t>Germaine Kidd</t>
  </si>
  <si>
    <t>Kenyon Joyce</t>
  </si>
  <si>
    <t>Joel Rivers</t>
  </si>
  <si>
    <t>Australia</t>
  </si>
  <si>
    <t>Colby Knapp</t>
  </si>
  <si>
    <t>Pakistan</t>
  </si>
  <si>
    <t>Vance Campos</t>
  </si>
  <si>
    <t>Syrian Arab Republic</t>
  </si>
  <si>
    <t>Lael Gould</t>
  </si>
  <si>
    <t>El Salvador</t>
  </si>
  <si>
    <t>Jane Hernandez</t>
  </si>
  <si>
    <t>Dara Cunningham</t>
  </si>
  <si>
    <t>Saint Helena</t>
  </si>
  <si>
    <t>Colette Sargent</t>
  </si>
  <si>
    <t>Norfolk Island</t>
  </si>
  <si>
    <t>Shea Cortez</t>
  </si>
  <si>
    <t>India</t>
  </si>
  <si>
    <t>Cyrus Whitley</t>
  </si>
  <si>
    <t>Eleanor Hopper</t>
  </si>
  <si>
    <t>Forrest Macdonald</t>
  </si>
  <si>
    <t>New Caledonia</t>
  </si>
  <si>
    <t>Desirae Perkins</t>
  </si>
  <si>
    <t>Chile</t>
  </si>
  <si>
    <t>Barrett Mckinney</t>
  </si>
  <si>
    <t>Basil Vang</t>
  </si>
  <si>
    <t>Moldova</t>
  </si>
  <si>
    <t>Noel Key</t>
  </si>
  <si>
    <t>Gambia</t>
  </si>
  <si>
    <t>Ebony Mercer</t>
  </si>
  <si>
    <t>Cape Verde</t>
  </si>
  <si>
    <t>Isaac Cooper</t>
  </si>
  <si>
    <t>Netherlands Antilles</t>
  </si>
  <si>
    <t>James Spencer</t>
  </si>
  <si>
    <t>Clark Orr</t>
  </si>
  <si>
    <t>Phillip Perkins</t>
  </si>
  <si>
    <t>Nigeria</t>
  </si>
  <si>
    <t>Uriel Benton</t>
  </si>
  <si>
    <t>South Africa</t>
  </si>
  <si>
    <t>Aretha Patton</t>
  </si>
  <si>
    <t>Thomas Barnes</t>
  </si>
  <si>
    <t>Mayotte</t>
  </si>
  <si>
    <t>Victoria Solis</t>
  </si>
  <si>
    <t>Arsenio Knowles</t>
  </si>
  <si>
    <t>Ryder Conner</t>
  </si>
  <si>
    <t>Virgin Islands, British</t>
  </si>
  <si>
    <t>Roary Dixon</t>
  </si>
  <si>
    <t>Saudi Arabia</t>
  </si>
  <si>
    <t>Silas Battle</t>
  </si>
  <si>
    <t>Leonard Cardenas</t>
  </si>
  <si>
    <t>Brittany Burris</t>
  </si>
  <si>
    <t>Petra Mckenzie</t>
  </si>
  <si>
    <t>Morocco</t>
  </si>
  <si>
    <t>Angela Wise</t>
  </si>
  <si>
    <t>Super Soft Bulk - 2 Litres</t>
  </si>
  <si>
    <t>Super Soft - 1 Litre</t>
  </si>
  <si>
    <t>Detafast Stain Remover - 800ml</t>
  </si>
  <si>
    <t>Super Soft - 500ml</t>
  </si>
  <si>
    <t>Detafast Stain Remover - 200ml</t>
  </si>
  <si>
    <t>Detafast Stain Remover - 100ml</t>
  </si>
  <si>
    <t>Pure Soft Detergent - 250ml</t>
  </si>
  <si>
    <t>Pure Soft Detergent - 200ml</t>
  </si>
  <si>
    <t>Super Soft - 250ml</t>
  </si>
  <si>
    <t>Pure Soft Detergent - 500ml</t>
  </si>
  <si>
    <t>Pure Soft Detergent - 100ml</t>
  </si>
  <si>
    <t>Product</t>
  </si>
  <si>
    <t>Total Revenue</t>
  </si>
  <si>
    <t>Find out the number of distributors for each of the products mentioned in the table below</t>
  </si>
  <si>
    <t>Find out the total revenue for each of the products mentioned in the table below</t>
  </si>
  <si>
    <t>Find out the total revenue where the quantity of product sold is less than 100</t>
  </si>
  <si>
    <t>Find out the total revenue in the month of August (8)</t>
  </si>
  <si>
    <t>&gt;=50</t>
  </si>
  <si>
    <t>&gt;=100</t>
  </si>
  <si>
    <t>&gt;=150</t>
  </si>
  <si>
    <t># of distributors</t>
  </si>
  <si>
    <t>Quantity Sold</t>
  </si>
  <si>
    <t>Total Revenue (Units sold &gt; 100)</t>
  </si>
  <si>
    <t>Count (Using COUNTIFS)</t>
  </si>
  <si>
    <t>NOTE: The learner can use COUNTIFS instead of COUNTIF to do each problem as well. The below exercises demonstrates both functions</t>
  </si>
  <si>
    <t>Total Revenue
(Using SUMIF)</t>
  </si>
  <si>
    <t>Total Revenue
(Using SUMIFS)</t>
  </si>
  <si>
    <t>Total Revenue (Quantity &lt; 100) [Using SUMIFS]</t>
  </si>
  <si>
    <t>Total Revenue in August (Using SUMIFS)</t>
  </si>
  <si>
    <t># of Distributors (each country has a single distributor)
Using COUNTIF</t>
  </si>
  <si>
    <t># of Distributors (each country has a single distributor)
Using COUNTIFS</t>
  </si>
  <si>
    <t>IF</t>
  </si>
  <si>
    <t>Target Revenue</t>
  </si>
  <si>
    <t>Region</t>
  </si>
  <si>
    <t>QTY</t>
  </si>
  <si>
    <t>Analysis</t>
  </si>
  <si>
    <t>North America</t>
  </si>
  <si>
    <t>South Asia</t>
  </si>
  <si>
    <t>Pacific Islands</t>
  </si>
  <si>
    <t>Africa</t>
  </si>
  <si>
    <t>Eastern Europe</t>
  </si>
  <si>
    <t>Target Unit Price</t>
  </si>
  <si>
    <t>Target Quantity</t>
  </si>
  <si>
    <t>Sales Medium</t>
  </si>
  <si>
    <t>Distributor</t>
  </si>
  <si>
    <t>Industry</t>
  </si>
  <si>
    <t>The Distribution Group</t>
  </si>
  <si>
    <t>Consumer Stapes</t>
  </si>
  <si>
    <t>Distributors R Us</t>
  </si>
  <si>
    <t>Commodities</t>
  </si>
  <si>
    <t>Discount Distribution</t>
  </si>
  <si>
    <t>Leisure</t>
  </si>
  <si>
    <t>Freight Away</t>
  </si>
  <si>
    <t>Industrial Materials</t>
  </si>
  <si>
    <t>China</t>
  </si>
  <si>
    <t>Infinity Trucking</t>
  </si>
  <si>
    <t>IF + AND</t>
  </si>
  <si>
    <t>IF + OR</t>
  </si>
  <si>
    <t>NOTE: The learner can use SUMIFS instead of SUMIF to do each problem as well. The below exercises demonstrates both functions.</t>
  </si>
  <si>
    <t>Find out the total revenue for each of the products mentioned in the table below.</t>
  </si>
  <si>
    <t>Find out the total revenue where the quantity of product sold is less than 100.</t>
  </si>
  <si>
    <t>Find out the total revenue in the month of August (8).</t>
  </si>
  <si>
    <t>How many distributors sold the following products with respective quantity in the table below?</t>
  </si>
  <si>
    <t>Calculate the total revenue for the following sales channel where the number of units sold is greater than 100.</t>
  </si>
  <si>
    <t>Calculate the total revenue by sales channel for the following products.</t>
  </si>
  <si>
    <t>Calculate the total revenue for the following product and country pairs.</t>
  </si>
  <si>
    <t>Please return the Quantity Sold for each region that meets or exceeds the target revenue from above.</t>
  </si>
  <si>
    <t>Return the Distributor Name if they sell online or sell over $1,000 of product.</t>
  </si>
  <si>
    <t>If a distributor meets the Revenue and Quantity targets, return their name. If they only meet one of the requirements, return their industry; else, return the word "Neither."</t>
  </si>
  <si>
    <t>Greater than $1000</t>
  </si>
  <si>
    <t>Less than $1000</t>
  </si>
  <si>
    <t>Equals $1000</t>
  </si>
  <si>
    <t>Does not Equal $1000</t>
  </si>
  <si>
    <t>Greater than 100</t>
  </si>
  <si>
    <t>Less than 100</t>
  </si>
  <si>
    <t>Equals 100</t>
  </si>
  <si>
    <t>Does not Equal 100</t>
  </si>
  <si>
    <t>Total Revenue [Using SUMIFS]</t>
  </si>
  <si>
    <t>Sum (Using SUMIFS)</t>
  </si>
  <si>
    <t>Find the total revenue of products for which the total revenue is greater than $2000, less than $2000, equals $2000 and does not equal $2000</t>
  </si>
  <si>
    <t>Greater than $2000</t>
  </si>
  <si>
    <t>Less than $2000</t>
  </si>
  <si>
    <t>Equals $2000</t>
  </si>
  <si>
    <t>Does not Equal $2000</t>
  </si>
  <si>
    <t>Identify the Distributors that do not sell products through the online channel</t>
  </si>
  <si>
    <t>Find the number of sales of each of the following products</t>
  </si>
  <si>
    <t># of sales
Using COUNTIFS</t>
  </si>
  <si>
    <t>Count the number of sales for which revenue meets the following criteria:</t>
  </si>
  <si>
    <t>Count the number of sales occurring in each of the sales channels</t>
  </si>
  <si>
    <t>Count the number of sales with quantities less than 100, greater than 100, equal to 100, or not equal to 100</t>
  </si>
  <si>
    <t>Section 1 - COUNTIFS Introduction</t>
  </si>
  <si>
    <t>Section 2 - COUNTIFS (continued)</t>
  </si>
  <si>
    <t>Section 2 - COUNTIFS (ANS)</t>
  </si>
  <si>
    <t>Section 3 - SUMIFS Introduction</t>
  </si>
  <si>
    <t>Section 4 - SUMIFS (continued)</t>
  </si>
  <si>
    <t>Section 8 - Nested IF Functions</t>
  </si>
  <si>
    <t>Section 8 - Nested IF Functions (ANS)</t>
  </si>
  <si>
    <t>Section 5 - IF Function</t>
  </si>
  <si>
    <t>Section 6 - IF + AND Functions</t>
  </si>
  <si>
    <t>Section 7 - IF + OR Functions</t>
  </si>
  <si>
    <t>How many sales of Super Soft Bulk - 2 Litres were made through the following sales channels?</t>
  </si>
  <si>
    <t>How many sales of more than 100 units of Super Soft Bulk - 2 Litres were made through the following sales channels?</t>
  </si>
  <si>
    <t>Section 1 - COUNTIFS'!A1</t>
  </si>
  <si>
    <t>Section 2 - COUNTIFS (cont''d)'!A1</t>
  </si>
  <si>
    <t>Section 3 - SUMIFS'!A1</t>
  </si>
  <si>
    <t>Section 4 - SUMIFS (cont''d)'!A1</t>
  </si>
  <si>
    <t>Section 5 - IF'!A1</t>
  </si>
  <si>
    <t>Section 6 - IF + AND'!A1</t>
  </si>
  <si>
    <t>Section 7 - IF + OR'!A1</t>
  </si>
  <si>
    <t>Section 8 - Nested IFs'!A1</t>
  </si>
  <si>
    <t>Calculate the total revenue by sales channel for all products.</t>
  </si>
  <si>
    <t>Identify if each of the product sales listed below have met or exceeded the target revenue.</t>
  </si>
  <si>
    <t># of Sales</t>
  </si>
  <si>
    <t># of Sales (Quantity &gt; 100)</t>
  </si>
  <si>
    <t>Identify if the product sales below have met both the target price and target revenue goals.</t>
  </si>
  <si>
    <t>Identify the Region Name for those products that have exceeded the Target Unit Price and Target Quantity.</t>
  </si>
  <si>
    <t>If the Distributor sells online, return their industry; otherwise, if the distributor sells less than $500 of product, return their name.</t>
  </si>
  <si>
    <t>Problem 1A - Instructor Lead</t>
  </si>
  <si>
    <t>Problem 1B- Student Lead</t>
  </si>
  <si>
    <t># of sales
(Using COUNTIFS)</t>
  </si>
  <si>
    <t>Problem 2B- Student Lead</t>
  </si>
  <si>
    <t>Problem 3A- Instructor Lead</t>
  </si>
  <si>
    <t>Problem 3B- Student Lead</t>
  </si>
  <si>
    <t>Problem 5A- Instructor Lead</t>
  </si>
  <si>
    <t>Problem 5B- Student Lead</t>
  </si>
  <si>
    <t>Problem 6A - Instructor Lead</t>
  </si>
  <si>
    <t>Problem 6B- Student Lead</t>
  </si>
  <si>
    <t>Section 7 - IF + OR Functions (ANS)</t>
  </si>
  <si>
    <t>Section 6 - IF + AND Functions (ANS)</t>
  </si>
  <si>
    <t>Section 5 - IF Function (ANS)</t>
  </si>
  <si>
    <t>Section 3 - SUMIFS Introduction (ANS)</t>
  </si>
  <si>
    <t>Section 1 - COUNTIFS Introduction (ANS)</t>
  </si>
  <si>
    <t>Problem 7A - Instructor Lead</t>
  </si>
  <si>
    <t>Problem 7B - Student Lead</t>
  </si>
  <si>
    <t>Problem 8A -Instructor Lead</t>
  </si>
  <si>
    <t>Problem 8B - Student Lead</t>
  </si>
  <si>
    <t>Problem Solving with Excel</t>
  </si>
  <si>
    <t>Week 3</t>
  </si>
  <si>
    <t>Logical Functions</t>
  </si>
  <si>
    <t>Problem 2A - Instructor Lead</t>
  </si>
  <si>
    <t>Problem 4A - Instructor Lead</t>
  </si>
  <si>
    <t>Problem 4B - Student Lead</t>
  </si>
  <si>
    <t>Table of Contents</t>
  </si>
  <si>
    <t>COUNTIFS (cont'd)</t>
  </si>
  <si>
    <t>SUMIFS (cont'd)</t>
  </si>
  <si>
    <t>NESTED IFS</t>
  </si>
  <si>
    <t>Count the number of sales occurring in each of the sales channels.</t>
  </si>
  <si>
    <t>Count the number of sales with quantities less than 100, greater than 100, equal to 100, or not equal to 100.</t>
  </si>
  <si>
    <t>Identify if each of the product sales listed below has met or exceeded the target revenue.</t>
  </si>
  <si>
    <t>Identify the Distributors that do not sell products through the online channel.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</si>
</sst>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  <numFmt numFmtId="167" formatCode="_(* #,##0_);_(* \(#,##0\);_(* &quot;-&quot;??_);_(@_)"/>
    <numFmt numFmtId="168" formatCode="&quot;$&quot;#,##0.00"/>
  </numFmts>
  <fonts count="36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3"/>
      <name val="Arial"/>
      <family val="2"/>
    </font>
    <font>
      <b/>
      <sz val="10"/>
      <color theme="0"/>
      <name val="Arial"/>
      <family val="2"/>
    </font>
    <font>
      <b/>
      <sz val="14"/>
      <color theme="3"/>
      <name val="Calibri"/>
      <family val="2"/>
      <scheme val="minor"/>
    </font>
    <font>
      <b/>
      <sz val="11"/>
      <color theme="0"/>
      <name val="Calibri  "/>
    </font>
    <font>
      <sz val="11"/>
      <name val="Calibri  "/>
    </font>
    <font>
      <i/>
      <sz val="11"/>
      <name val="Calibri  "/>
    </font>
    <font>
      <b/>
      <sz val="11"/>
      <name val="Calibri  "/>
    </font>
    <font>
      <u/>
      <sz val="9"/>
      <color theme="10"/>
      <name val="Calibri"/>
      <family val="2"/>
      <scheme val="minor"/>
    </font>
    <font>
      <sz val="9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 style="thin">
        <color theme="6"/>
      </left>
      <right/>
      <top style="thin">
        <color theme="3"/>
      </top>
      <bottom style="thin">
        <color theme="3"/>
      </bottom>
      <diagonal/>
    </border>
    <border>
      <left/>
      <right style="thin">
        <color theme="6"/>
      </right>
      <top style="thin">
        <color theme="3"/>
      </top>
      <bottom style="thin">
        <color theme="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theme="3"/>
      </bottom>
      <diagonal/>
    </border>
    <border>
      <left style="thin">
        <color theme="6"/>
      </left>
      <right/>
      <top style="thin">
        <color theme="3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6"/>
      </right>
      <top style="thin">
        <color theme="3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 style="thin">
        <color theme="3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6"/>
      </top>
      <bottom style="thin">
        <color theme="3"/>
      </bottom>
      <diagonal/>
    </border>
    <border>
      <left/>
      <right/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theme="3"/>
      </top>
      <bottom style="thin">
        <color auto="1"/>
      </bottom>
      <diagonal/>
    </border>
  </borders>
  <cellStyleXfs count="34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34" fillId="0" borderId="0" applyNumberFormat="0" applyFill="0" applyBorder="0" applyAlignment="0" applyProtection="0"/>
  </cellStyleXfs>
  <cellXfs count="115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16" fillId="0" borderId="6" xfId="24" applyAlignment="1">
      <alignment horizontal="left" wrapText="1"/>
    </xf>
    <xf numFmtId="0" fontId="24" fillId="0" borderId="0" xfId="28" applyFont="1"/>
    <xf numFmtId="0" fontId="22" fillId="0" borderId="0" xfId="30" applyBorder="1"/>
    <xf numFmtId="0" fontId="28" fillId="12" borderId="12" xfId="0" applyNumberFormat="1" applyFont="1" applyFill="1" applyBorder="1" applyAlignment="1">
      <alignment horizontal="left" wrapText="1"/>
    </xf>
    <xf numFmtId="0" fontId="28" fillId="12" borderId="0" xfId="0" applyNumberFormat="1" applyFont="1" applyFill="1" applyBorder="1" applyAlignment="1">
      <alignment horizontal="left" wrapText="1"/>
    </xf>
    <xf numFmtId="0" fontId="28" fillId="12" borderId="0" xfId="0" applyNumberFormat="1" applyFont="1" applyFill="1" applyBorder="1" applyAlignment="1">
      <alignment wrapText="1"/>
    </xf>
    <xf numFmtId="3" fontId="28" fillId="12" borderId="0" xfId="0" applyNumberFormat="1" applyFont="1" applyFill="1" applyBorder="1" applyAlignment="1">
      <alignment wrapText="1"/>
    </xf>
    <xf numFmtId="0" fontId="28" fillId="12" borderId="0" xfId="32" applyNumberFormat="1" applyFont="1" applyFill="1" applyBorder="1" applyAlignment="1">
      <alignment wrapText="1"/>
    </xf>
    <xf numFmtId="0" fontId="27" fillId="0" borderId="12" xfId="0" applyNumberFormat="1" applyFont="1" applyBorder="1" applyAlignment="1">
      <alignment horizontal="left"/>
    </xf>
    <xf numFmtId="14" fontId="27" fillId="0" borderId="12" xfId="0" applyNumberFormat="1" applyFont="1" applyBorder="1" applyAlignment="1">
      <alignment horizontal="left"/>
    </xf>
    <xf numFmtId="1" fontId="27" fillId="0" borderId="12" xfId="0" applyNumberFormat="1" applyFont="1" applyBorder="1" applyAlignment="1">
      <alignment horizontal="center"/>
    </xf>
    <xf numFmtId="3" fontId="27" fillId="0" borderId="12" xfId="0" applyNumberFormat="1" applyFont="1" applyBorder="1"/>
    <xf numFmtId="8" fontId="27" fillId="0" borderId="12" xfId="32" applyNumberFormat="1" applyFont="1" applyBorder="1" applyAlignment="1">
      <alignment horizontal="right"/>
    </xf>
    <xf numFmtId="0" fontId="27" fillId="0" borderId="12" xfId="0" applyNumberFormat="1" applyFont="1" applyFill="1" applyBorder="1" applyAlignment="1">
      <alignment horizontal="left"/>
    </xf>
    <xf numFmtId="0" fontId="27" fillId="0" borderId="11" xfId="0" applyNumberFormat="1" applyFont="1" applyBorder="1" applyAlignment="1">
      <alignment horizontal="left"/>
    </xf>
    <xf numFmtId="0" fontId="27" fillId="0" borderId="11" xfId="0" applyNumberFormat="1" applyFont="1" applyFill="1" applyBorder="1" applyAlignment="1">
      <alignment horizontal="left"/>
    </xf>
    <xf numFmtId="0" fontId="27" fillId="11" borderId="12" xfId="0" applyNumberFormat="1" applyFont="1" applyFill="1" applyBorder="1" applyAlignment="1">
      <alignment horizontal="left"/>
    </xf>
    <xf numFmtId="166" fontId="27" fillId="0" borderId="12" xfId="0" applyNumberFormat="1" applyFont="1" applyFill="1" applyBorder="1" applyAlignment="1">
      <alignment horizontal="right"/>
    </xf>
    <xf numFmtId="0" fontId="29" fillId="0" borderId="0" xfId="28" applyFont="1"/>
    <xf numFmtId="167" fontId="30" fillId="12" borderId="11" xfId="31" applyNumberFormat="1" applyFont="1" applyFill="1" applyBorder="1" applyAlignment="1">
      <alignment horizontal="left" vertical="top"/>
    </xf>
    <xf numFmtId="0" fontId="31" fillId="11" borderId="12" xfId="30" applyFont="1" applyFill="1" applyBorder="1" applyAlignment="1">
      <alignment horizontal="left" vertical="top"/>
    </xf>
    <xf numFmtId="167" fontId="31" fillId="11" borderId="12" xfId="31" applyNumberFormat="1" applyFont="1" applyFill="1" applyBorder="1" applyAlignment="1">
      <alignment horizontal="center" vertical="center"/>
    </xf>
    <xf numFmtId="167" fontId="31" fillId="11" borderId="15" xfId="31" applyNumberFormat="1" applyFont="1" applyFill="1" applyBorder="1" applyAlignment="1">
      <alignment horizontal="center" vertical="center"/>
    </xf>
    <xf numFmtId="0" fontId="31" fillId="0" borderId="12" xfId="30" applyFont="1" applyFill="1" applyBorder="1" applyAlignment="1">
      <alignment horizontal="left" vertical="top"/>
    </xf>
    <xf numFmtId="167" fontId="31" fillId="0" borderId="12" xfId="31" applyNumberFormat="1" applyFont="1" applyFill="1" applyBorder="1" applyAlignment="1">
      <alignment horizontal="center" vertical="center"/>
    </xf>
    <xf numFmtId="0" fontId="31" fillId="0" borderId="14" xfId="30" applyNumberFormat="1" applyFont="1" applyBorder="1" applyAlignment="1">
      <alignment horizontal="left" vertical="top"/>
    </xf>
    <xf numFmtId="164" fontId="31" fillId="11" borderId="12" xfId="0" applyFont="1" applyFill="1" applyBorder="1" applyAlignment="1">
      <alignment horizontal="left" vertical="top"/>
    </xf>
    <xf numFmtId="167" fontId="30" fillId="12" borderId="11" xfId="31" applyNumberFormat="1" applyFont="1" applyFill="1" applyBorder="1" applyAlignment="1">
      <alignment vertical="top"/>
    </xf>
    <xf numFmtId="167" fontId="30" fillId="12" borderId="14" xfId="31" applyNumberFormat="1" applyFont="1" applyFill="1" applyBorder="1" applyAlignment="1">
      <alignment horizontal="left" vertical="top"/>
    </xf>
    <xf numFmtId="167" fontId="30" fillId="12" borderId="14" xfId="31" applyNumberFormat="1" applyFont="1" applyFill="1" applyBorder="1" applyAlignment="1">
      <alignment vertical="top"/>
    </xf>
    <xf numFmtId="44" fontId="31" fillId="11" borderId="15" xfId="32" applyFont="1" applyFill="1" applyBorder="1" applyAlignment="1">
      <alignment horizontal="left" vertical="top"/>
    </xf>
    <xf numFmtId="164" fontId="25" fillId="11" borderId="0" xfId="0" applyFont="1" applyFill="1" applyBorder="1" applyAlignment="1">
      <alignment horizontal="left" vertical="top"/>
    </xf>
    <xf numFmtId="0" fontId="26" fillId="11" borderId="0" xfId="30" applyFont="1" applyFill="1" applyBorder="1" applyAlignment="1">
      <alignment horizontal="left" vertical="top"/>
    </xf>
    <xf numFmtId="167" fontId="30" fillId="12" borderId="16" xfId="31" applyNumberFormat="1" applyFont="1" applyFill="1" applyBorder="1" applyAlignment="1">
      <alignment vertical="top"/>
    </xf>
    <xf numFmtId="167" fontId="30" fillId="12" borderId="16" xfId="31" applyNumberFormat="1" applyFont="1" applyFill="1" applyBorder="1" applyAlignment="1">
      <alignment horizontal="right" vertical="top"/>
    </xf>
    <xf numFmtId="167" fontId="30" fillId="12" borderId="11" xfId="31" applyNumberFormat="1" applyFont="1" applyFill="1" applyBorder="1" applyAlignment="1">
      <alignment horizontal="right" vertical="top" wrapText="1"/>
    </xf>
    <xf numFmtId="167" fontId="31" fillId="11" borderId="0" xfId="31" applyNumberFormat="1" applyFont="1" applyFill="1" applyBorder="1" applyAlignment="1">
      <alignment horizontal="center" vertical="center"/>
    </xf>
    <xf numFmtId="167" fontId="30" fillId="12" borderId="0" xfId="31" applyNumberFormat="1" applyFont="1" applyFill="1" applyBorder="1" applyAlignment="1">
      <alignment horizontal="center" vertical="top" wrapText="1"/>
    </xf>
    <xf numFmtId="0" fontId="31" fillId="0" borderId="0" xfId="30" applyFont="1" applyFill="1" applyBorder="1" applyAlignment="1">
      <alignment horizontal="center" vertical="top"/>
    </xf>
    <xf numFmtId="164" fontId="25" fillId="0" borderId="13" xfId="0" applyFont="1" applyBorder="1"/>
    <xf numFmtId="3" fontId="25" fillId="0" borderId="13" xfId="0" applyNumberFormat="1" applyFont="1" applyBorder="1"/>
    <xf numFmtId="44" fontId="31" fillId="11" borderId="15" xfId="32" applyFont="1" applyFill="1" applyBorder="1" applyAlignment="1">
      <alignment horizontal="center" vertical="center"/>
    </xf>
    <xf numFmtId="44" fontId="31" fillId="11" borderId="0" xfId="32" applyFont="1" applyFill="1" applyBorder="1" applyAlignment="1">
      <alignment horizontal="center" vertical="center"/>
    </xf>
    <xf numFmtId="167" fontId="30" fillId="12" borderId="16" xfId="31" applyNumberFormat="1" applyFont="1" applyFill="1" applyBorder="1" applyAlignment="1">
      <alignment horizontal="right" vertical="top" wrapText="1"/>
    </xf>
    <xf numFmtId="0" fontId="22" fillId="13" borderId="0" xfId="30" applyFill="1"/>
    <xf numFmtId="0" fontId="32" fillId="13" borderId="0" xfId="30" applyFont="1" applyFill="1"/>
    <xf numFmtId="0" fontId="22" fillId="0" borderId="0" xfId="30" applyFill="1"/>
    <xf numFmtId="167" fontId="31" fillId="0" borderId="0" xfId="30" applyNumberFormat="1" applyFont="1"/>
    <xf numFmtId="167" fontId="30" fillId="12" borderId="16" xfId="31" applyNumberFormat="1" applyFont="1" applyFill="1" applyBorder="1" applyAlignment="1">
      <alignment horizontal="left" vertical="top"/>
    </xf>
    <xf numFmtId="168" fontId="22" fillId="0" borderId="16" xfId="30" applyNumberFormat="1" applyBorder="1"/>
    <xf numFmtId="167" fontId="30" fillId="12" borderId="18" xfId="31" applyNumberFormat="1" applyFont="1" applyFill="1" applyBorder="1" applyAlignment="1">
      <alignment horizontal="left" vertical="top"/>
    </xf>
    <xf numFmtId="167" fontId="33" fillId="14" borderId="19" xfId="31" applyNumberFormat="1" applyFont="1" applyFill="1" applyBorder="1" applyAlignment="1">
      <alignment horizontal="left" vertical="top"/>
    </xf>
    <xf numFmtId="0" fontId="22" fillId="0" borderId="16" xfId="30" applyBorder="1"/>
    <xf numFmtId="44" fontId="22" fillId="0" borderId="16" xfId="30" applyNumberFormat="1" applyBorder="1"/>
    <xf numFmtId="44" fontId="22" fillId="0" borderId="20" xfId="30" applyNumberFormat="1" applyBorder="1"/>
    <xf numFmtId="0" fontId="22" fillId="0" borderId="21" xfId="30" applyBorder="1"/>
    <xf numFmtId="3" fontId="22" fillId="0" borderId="16" xfId="30" applyNumberFormat="1" applyBorder="1"/>
    <xf numFmtId="39" fontId="22" fillId="0" borderId="20" xfId="30" applyNumberFormat="1" applyBorder="1"/>
    <xf numFmtId="167" fontId="30" fillId="12" borderId="11" xfId="31" applyNumberFormat="1" applyFont="1" applyFill="1" applyBorder="1" applyAlignment="1">
      <alignment horizontal="left" vertical="top" wrapText="1"/>
    </xf>
    <xf numFmtId="0" fontId="30" fillId="12" borderId="11" xfId="30" applyFont="1" applyFill="1" applyBorder="1" applyAlignment="1">
      <alignment horizontal="left" vertical="top" wrapText="1"/>
    </xf>
    <xf numFmtId="0" fontId="31" fillId="0" borderId="18" xfId="30" applyNumberFormat="1" applyFont="1" applyBorder="1" applyAlignment="1">
      <alignment horizontal="left" vertical="top"/>
    </xf>
    <xf numFmtId="167" fontId="30" fillId="12" borderId="23" xfId="31" applyNumberFormat="1" applyFont="1" applyFill="1" applyBorder="1" applyAlignment="1">
      <alignment horizontal="left" vertical="top"/>
    </xf>
    <xf numFmtId="167" fontId="30" fillId="12" borderId="23" xfId="31" applyNumberFormat="1" applyFont="1" applyFill="1" applyBorder="1" applyAlignment="1">
      <alignment horizontal="left" vertical="top" wrapText="1"/>
    </xf>
    <xf numFmtId="167" fontId="33" fillId="14" borderId="25" xfId="31" applyNumberFormat="1" applyFont="1" applyFill="1" applyBorder="1" applyAlignment="1">
      <alignment horizontal="left" vertical="top"/>
    </xf>
    <xf numFmtId="0" fontId="22" fillId="0" borderId="27" xfId="30" applyBorder="1"/>
    <xf numFmtId="44" fontId="22" fillId="0" borderId="27" xfId="30" applyNumberFormat="1" applyBorder="1"/>
    <xf numFmtId="44" fontId="22" fillId="0" borderId="28" xfId="30" applyNumberFormat="1" applyBorder="1"/>
    <xf numFmtId="167" fontId="30" fillId="12" borderId="18" xfId="31" applyNumberFormat="1" applyFont="1" applyFill="1" applyBorder="1" applyAlignment="1">
      <alignment vertical="top"/>
    </xf>
    <xf numFmtId="167" fontId="33" fillId="14" borderId="25" xfId="31" applyNumberFormat="1" applyFont="1" applyFill="1" applyBorder="1" applyAlignment="1">
      <alignment vertical="top"/>
    </xf>
    <xf numFmtId="0" fontId="22" fillId="0" borderId="16" xfId="30" applyBorder="1" applyAlignment="1"/>
    <xf numFmtId="44" fontId="22" fillId="0" borderId="16" xfId="30" applyNumberFormat="1" applyBorder="1" applyAlignment="1"/>
    <xf numFmtId="44" fontId="22" fillId="0" borderId="20" xfId="30" applyNumberFormat="1" applyBorder="1" applyAlignment="1"/>
    <xf numFmtId="0" fontId="22" fillId="0" borderId="27" xfId="30" applyBorder="1" applyAlignment="1"/>
    <xf numFmtId="44" fontId="22" fillId="0" borderId="27" xfId="30" applyNumberFormat="1" applyBorder="1" applyAlignment="1"/>
    <xf numFmtId="44" fontId="22" fillId="0" borderId="28" xfId="30" applyNumberFormat="1" applyBorder="1" applyAlignment="1"/>
    <xf numFmtId="39" fontId="22" fillId="0" borderId="28" xfId="30" applyNumberFormat="1" applyBorder="1"/>
    <xf numFmtId="167" fontId="30" fillId="12" borderId="17" xfId="31" applyNumberFormat="1" applyFont="1" applyFill="1" applyBorder="1" applyAlignment="1">
      <alignment horizontal="left" vertical="top"/>
    </xf>
    <xf numFmtId="167" fontId="30" fillId="12" borderId="0" xfId="31" applyNumberFormat="1" applyFont="1" applyFill="1" applyBorder="1" applyAlignment="1">
      <alignment vertical="top" wrapText="1"/>
    </xf>
    <xf numFmtId="167" fontId="31" fillId="13" borderId="15" xfId="31" applyNumberFormat="1" applyFont="1" applyFill="1" applyBorder="1" applyAlignment="1">
      <alignment horizontal="center" vertical="center"/>
    </xf>
    <xf numFmtId="167" fontId="31" fillId="13" borderId="15" xfId="31" applyNumberFormat="1" applyFont="1" applyFill="1" applyBorder="1" applyAlignment="1">
      <alignment horizontal="left" vertical="center"/>
    </xf>
    <xf numFmtId="167" fontId="31" fillId="13" borderId="24" xfId="31" applyNumberFormat="1" applyFont="1" applyFill="1" applyBorder="1" applyAlignment="1">
      <alignment horizontal="left" vertical="center"/>
    </xf>
    <xf numFmtId="167" fontId="31" fillId="13" borderId="0" xfId="31" applyNumberFormat="1" applyFont="1" applyFill="1" applyBorder="1" applyAlignment="1">
      <alignment horizontal="center" vertical="center"/>
    </xf>
    <xf numFmtId="44" fontId="31" fillId="13" borderId="12" xfId="32" applyFont="1" applyFill="1" applyBorder="1" applyAlignment="1">
      <alignment horizontal="right" vertical="top"/>
    </xf>
    <xf numFmtId="166" fontId="31" fillId="13" borderId="15" xfId="32" applyNumberFormat="1" applyFont="1" applyFill="1" applyBorder="1" applyAlignment="1">
      <alignment horizontal="left" vertical="top"/>
    </xf>
    <xf numFmtId="44" fontId="31" fillId="13" borderId="15" xfId="32" applyFont="1" applyFill="1" applyBorder="1" applyAlignment="1">
      <alignment horizontal="center" vertical="center"/>
    </xf>
    <xf numFmtId="0" fontId="22" fillId="13" borderId="26" xfId="30" applyFill="1" applyBorder="1"/>
    <xf numFmtId="0" fontId="22" fillId="13" borderId="29" xfId="30" applyFill="1" applyBorder="1"/>
    <xf numFmtId="0" fontId="22" fillId="13" borderId="30" xfId="30" applyFill="1" applyBorder="1"/>
    <xf numFmtId="0" fontId="22" fillId="13" borderId="31" xfId="30" applyFill="1" applyBorder="1"/>
    <xf numFmtId="0" fontId="22" fillId="13" borderId="26" xfId="30" applyFill="1" applyBorder="1" applyAlignment="1"/>
    <xf numFmtId="0" fontId="22" fillId="13" borderId="29" xfId="30" applyFill="1" applyBorder="1" applyAlignment="1"/>
    <xf numFmtId="44" fontId="31" fillId="11" borderId="12" xfId="32" applyFont="1" applyFill="1" applyBorder="1" applyAlignment="1">
      <alignment horizontal="left" vertical="top"/>
    </xf>
    <xf numFmtId="44" fontId="31" fillId="13" borderId="15" xfId="32" applyFont="1" applyFill="1" applyBorder="1" applyAlignment="1">
      <alignment horizontal="left" vertical="center"/>
    </xf>
    <xf numFmtId="44" fontId="31" fillId="13" borderId="24" xfId="32" applyFont="1" applyFill="1" applyBorder="1" applyAlignment="1">
      <alignment horizontal="left" vertical="center"/>
    </xf>
    <xf numFmtId="44" fontId="31" fillId="13" borderId="15" xfId="32" applyFont="1" applyFill="1" applyBorder="1" applyAlignment="1">
      <alignment horizontal="left" vertical="top"/>
    </xf>
    <xf numFmtId="44" fontId="22" fillId="13" borderId="12" xfId="32" applyFont="1" applyFill="1" applyBorder="1" applyAlignment="1">
      <alignment horizontal="left" vertical="top"/>
    </xf>
    <xf numFmtId="44" fontId="22" fillId="13" borderId="13" xfId="32" applyFont="1" applyFill="1" applyBorder="1" applyAlignment="1">
      <alignment horizontal="left" vertical="top"/>
    </xf>
    <xf numFmtId="44" fontId="31" fillId="13" borderId="0" xfId="32" applyFont="1" applyFill="1" applyBorder="1" applyAlignment="1">
      <alignment horizontal="center" vertical="center"/>
    </xf>
    <xf numFmtId="0" fontId="34" fillId="0" borderId="0" xfId="33" quotePrefix="1" applyNumberFormat="1"/>
    <xf numFmtId="44" fontId="22" fillId="0" borderId="0" xfId="32" applyFont="1"/>
    <xf numFmtId="44" fontId="31" fillId="11" borderId="32" xfId="32" applyNumberFormat="1" applyFont="1" applyFill="1" applyBorder="1" applyAlignment="1">
      <alignment horizontal="center" vertical="center"/>
    </xf>
    <xf numFmtId="167" fontId="31" fillId="0" borderId="15" xfId="31" applyNumberFormat="1" applyFont="1" applyFill="1" applyBorder="1" applyAlignment="1">
      <alignment horizontal="center" vertical="center"/>
    </xf>
    <xf numFmtId="167" fontId="30" fillId="12" borderId="37" xfId="31" applyNumberFormat="1" applyFont="1" applyFill="1" applyBorder="1" applyAlignment="1">
      <alignment horizontal="right" vertical="top"/>
    </xf>
    <xf numFmtId="44" fontId="31" fillId="11" borderId="33" xfId="32" applyNumberFormat="1" applyFont="1" applyFill="1" applyBorder="1" applyAlignment="1">
      <alignment horizontal="center" vertical="center"/>
    </xf>
    <xf numFmtId="167" fontId="30" fillId="12" borderId="22" xfId="31" applyNumberFormat="1" applyFont="1" applyFill="1" applyBorder="1" applyAlignment="1">
      <alignment horizontal="right" vertical="top"/>
    </xf>
    <xf numFmtId="167" fontId="30" fillId="12" borderId="20" xfId="31" applyNumberFormat="1" applyFont="1" applyFill="1" applyBorder="1" applyAlignment="1">
      <alignment horizontal="right" vertical="top"/>
    </xf>
    <xf numFmtId="44" fontId="31" fillId="11" borderId="36" xfId="32" applyNumberFormat="1" applyFont="1" applyFill="1" applyBorder="1" applyAlignment="1">
      <alignment horizontal="center" vertical="center"/>
    </xf>
    <xf numFmtId="44" fontId="31" fillId="11" borderId="35" xfId="32" applyNumberFormat="1" applyFont="1" applyFill="1" applyBorder="1" applyAlignment="1">
      <alignment horizontal="center" vertical="center"/>
    </xf>
    <xf numFmtId="44" fontId="31" fillId="11" borderId="34" xfId="32" applyNumberFormat="1" applyFont="1" applyFill="1" applyBorder="1" applyAlignment="1">
      <alignment horizontal="center" vertical="center"/>
    </xf>
    <xf numFmtId="0" fontId="29" fillId="0" borderId="0" xfId="28" applyFont="1" applyAlignment="1">
      <alignment horizontal="left" wrapText="1"/>
    </xf>
    <xf numFmtId="0" fontId="31" fillId="13" borderId="0" xfId="30" applyNumberFormat="1" applyFont="1" applyFill="1"/>
  </cellXfs>
  <cellStyles count="34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Currency" xfId="32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 xr:uid="{00000000-0005-0000-0000-000010000000}"/>
    <cellStyle name="Note" xfId="15" builtinId="10" customBuiltin="1"/>
    <cellStyle name="Output" xfId="11" builtinId="21" customBuiltin="1"/>
    <cellStyle name="Percent" xfId="1" builtinId="5" customBuiltin="1"/>
    <cellStyle name="Smart Bold" xfId="18" xr:uid="{00000000-0005-0000-0000-000014000000}"/>
    <cellStyle name="Smart Forecast" xfId="19" xr:uid="{00000000-0005-0000-0000-000015000000}"/>
    <cellStyle name="Smart General" xfId="20" xr:uid="{00000000-0005-0000-0000-000016000000}"/>
    <cellStyle name="Smart Highlight" xfId="21" xr:uid="{00000000-0005-0000-0000-000017000000}"/>
    <cellStyle name="Smart Percent" xfId="22" xr:uid="{00000000-0005-0000-0000-000018000000}"/>
    <cellStyle name="Smart Source" xfId="23" xr:uid="{00000000-0005-0000-0000-000019000000}"/>
    <cellStyle name="Smart Subtitle 1" xfId="24" xr:uid="{00000000-0005-0000-0000-00001A000000}"/>
    <cellStyle name="Smart Subtitle 2" xfId="25" xr:uid="{00000000-0005-0000-0000-00001B000000}"/>
    <cellStyle name="Smart Subtitle 3" xfId="26" xr:uid="{00000000-0005-0000-0000-00001C000000}"/>
    <cellStyle name="Smart Subtotal" xfId="27" xr:uid="{00000000-0005-0000-0000-00001D000000}"/>
    <cellStyle name="Smart Title" xfId="28" xr:uid="{00000000-0005-0000-0000-00001E000000}"/>
    <cellStyle name="Smart Total" xfId="29" xr:uid="{00000000-0005-0000-0000-00001F000000}"/>
    <cellStyle name="Title" xfId="2" builtinId="15" customBuiltin="1"/>
    <cellStyle name="Total" xfId="17" builtinId="25" customBuiltin="1"/>
  </cellStyles>
  <dxfs count="182"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general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general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#,##0.00;\-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#,##0.00;\-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general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general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indent="0" justifyLastLine="0" shrinkToFit="0" readingOrder="0"/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66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71" formatCode="&quot;$&quot;#,##0.00;[Red]\-&quot;$&quot;#,##0.00"/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3" formatCode="#,##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72" formatCode="m/d/yy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border outline="0">
        <bottom style="thin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indexed="64"/>
          <bgColor theme="3"/>
        </patternFill>
      </fill>
      <alignment horizontal="general" vertical="bottom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371475</xdr:rowOff>
        </xdr:from>
        <xdr:to>
          <xdr:col>5</xdr:col>
          <xdr:colOff>38100</xdr:colOff>
          <xdr:row>14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1524000</xdr:colOff>
          <xdr:row>36</xdr:row>
          <xdr:rowOff>123825</xdr:rowOff>
        </xdr:from>
        <xdr:to>
          <xdr:col>3</xdr:col>
          <xdr:colOff>3495675</xdr:colOff>
          <xdr:row>36</xdr:row>
          <xdr:rowOff>571500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11</xdr:row>
          <xdr:rowOff>257175</xdr:rowOff>
        </xdr:from>
        <xdr:to>
          <xdr:col>5</xdr:col>
          <xdr:colOff>342900</xdr:colOff>
          <xdr:row>14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31</xdr:row>
          <xdr:rowOff>142875</xdr:rowOff>
        </xdr:from>
        <xdr:to>
          <xdr:col>3</xdr:col>
          <xdr:colOff>2628900</xdr:colOff>
          <xdr:row>34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12</xdr:row>
          <xdr:rowOff>123825</xdr:rowOff>
        </xdr:from>
        <xdr:to>
          <xdr:col>3</xdr:col>
          <xdr:colOff>1971675</xdr:colOff>
          <xdr:row>14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23</xdr:row>
          <xdr:rowOff>180975</xdr:rowOff>
        </xdr:from>
        <xdr:to>
          <xdr:col>3</xdr:col>
          <xdr:colOff>1971675</xdr:colOff>
          <xdr:row>26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36</xdr:row>
          <xdr:rowOff>152400</xdr:rowOff>
        </xdr:from>
        <xdr:to>
          <xdr:col>7</xdr:col>
          <xdr:colOff>28575</xdr:colOff>
          <xdr:row>38</xdr:row>
          <xdr:rowOff>161925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11</xdr:row>
          <xdr:rowOff>142875</xdr:rowOff>
        </xdr:from>
        <xdr:to>
          <xdr:col>3</xdr:col>
          <xdr:colOff>1943100</xdr:colOff>
          <xdr:row>14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21</xdr:row>
          <xdr:rowOff>190500</xdr:rowOff>
        </xdr:from>
        <xdr:to>
          <xdr:col>3</xdr:col>
          <xdr:colOff>1943100</xdr:colOff>
          <xdr:row>24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36</xdr:row>
          <xdr:rowOff>9525</xdr:rowOff>
        </xdr:from>
        <xdr:to>
          <xdr:col>7</xdr:col>
          <xdr:colOff>266700</xdr:colOff>
          <xdr:row>38</xdr:row>
          <xdr:rowOff>85725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26</xdr:row>
          <xdr:rowOff>85725</xdr:rowOff>
        </xdr:from>
        <xdr:to>
          <xdr:col>2</xdr:col>
          <xdr:colOff>1533525</xdr:colOff>
          <xdr:row>28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942975</xdr:colOff>
          <xdr:row>35</xdr:row>
          <xdr:rowOff>228600</xdr:rowOff>
        </xdr:from>
        <xdr:to>
          <xdr:col>2</xdr:col>
          <xdr:colOff>2466975</xdr:colOff>
          <xdr:row>37</xdr:row>
          <xdr:rowOff>228600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26</xdr:row>
          <xdr:rowOff>152400</xdr:rowOff>
        </xdr:from>
        <xdr:to>
          <xdr:col>3</xdr:col>
          <xdr:colOff>1333500</xdr:colOff>
          <xdr:row>28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42</xdr:row>
          <xdr:rowOff>114300</xdr:rowOff>
        </xdr:from>
        <xdr:to>
          <xdr:col>3</xdr:col>
          <xdr:colOff>2047875</xdr:colOff>
          <xdr:row>44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1143000</xdr:colOff>
          <xdr:row>16</xdr:row>
          <xdr:rowOff>9525</xdr:rowOff>
        </xdr:from>
        <xdr:to>
          <xdr:col>2</xdr:col>
          <xdr:colOff>2247900</xdr:colOff>
          <xdr:row>18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1323975</xdr:colOff>
          <xdr:row>35</xdr:row>
          <xdr:rowOff>76200</xdr:rowOff>
        </xdr:from>
        <xdr:to>
          <xdr:col>2</xdr:col>
          <xdr:colOff>2657475</xdr:colOff>
          <xdr:row>37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2705100</xdr:colOff>
          <xdr:row>17</xdr:row>
          <xdr:rowOff>38100</xdr:rowOff>
        </xdr:from>
        <xdr:to>
          <xdr:col>3</xdr:col>
          <xdr:colOff>1590675</xdr:colOff>
          <xdr:row>19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42</xdr:row>
          <xdr:rowOff>123825</xdr:rowOff>
        </xdr:from>
        <xdr:to>
          <xdr:col>4</xdr:col>
          <xdr:colOff>1752600</xdr:colOff>
          <xdr:row>44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1676400</xdr:colOff>
          <xdr:row>19</xdr:row>
          <xdr:rowOff>66675</xdr:rowOff>
        </xdr:from>
        <xdr:to>
          <xdr:col>4</xdr:col>
          <xdr:colOff>428625</xdr:colOff>
          <xdr:row>21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27</xdr:row>
          <xdr:rowOff>123825</xdr:rowOff>
        </xdr:from>
        <xdr:to>
          <xdr:col>9</xdr:col>
          <xdr:colOff>485775</xdr:colOff>
          <xdr:row>30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18</xdr:row>
          <xdr:rowOff>104775</xdr:rowOff>
        </xdr:from>
        <xdr:to>
          <xdr:col>3</xdr:col>
          <xdr:colOff>457200</xdr:colOff>
          <xdr:row>20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27</xdr:row>
          <xdr:rowOff>47625</xdr:rowOff>
        </xdr:from>
        <xdr:to>
          <xdr:col>9</xdr:col>
          <xdr:colOff>504825</xdr:colOff>
          <xdr:row>29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18</xdr:row>
          <xdr:rowOff>38100</xdr:rowOff>
        </xdr:from>
        <xdr:to>
          <xdr:col>10</xdr:col>
          <xdr:colOff>304800</xdr:colOff>
          <xdr:row>20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29</xdr:row>
          <xdr:rowOff>66675</xdr:rowOff>
        </xdr:from>
        <xdr:to>
          <xdr:col>10</xdr:col>
          <xdr:colOff>419100</xdr:colOff>
          <xdr:row>31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123825</xdr:rowOff>
        </xdr:from>
        <xdr:to>
          <xdr:col>10</xdr:col>
          <xdr:colOff>0</xdr:colOff>
          <xdr:row>18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30</xdr:row>
          <xdr:rowOff>142875</xdr:rowOff>
        </xdr:from>
        <xdr:to>
          <xdr:col>10</xdr:col>
          <xdr:colOff>152400</xdr:colOff>
          <xdr:row>33</xdr:row>
          <xdr:rowOff>47625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14</xdr:row>
          <xdr:rowOff>9525</xdr:rowOff>
        </xdr:from>
        <xdr:to>
          <xdr:col>10</xdr:col>
          <xdr:colOff>152400</xdr:colOff>
          <xdr:row>16</xdr:row>
          <xdr:rowOff>142875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25</xdr:row>
          <xdr:rowOff>190500</xdr:rowOff>
        </xdr:from>
        <xdr:to>
          <xdr:col>10</xdr:col>
          <xdr:colOff>314325</xdr:colOff>
          <xdr:row>28</xdr:row>
          <xdr:rowOff>38100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F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152400</xdr:rowOff>
        </xdr:from>
        <xdr:to>
          <xdr:col>9</xdr:col>
          <xdr:colOff>523875</xdr:colOff>
          <xdr:row>19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29</xdr:row>
          <xdr:rowOff>152400</xdr:rowOff>
        </xdr:from>
        <xdr:to>
          <xdr:col>10</xdr:col>
          <xdr:colOff>257175</xdr:colOff>
          <xdr:row>32</xdr:row>
          <xdr:rowOff>47625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18</xdr:row>
          <xdr:rowOff>38100</xdr:rowOff>
        </xdr:from>
        <xdr:to>
          <xdr:col>9</xdr:col>
          <xdr:colOff>47625</xdr:colOff>
          <xdr:row>20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32</xdr:row>
          <xdr:rowOff>9525</xdr:rowOff>
        </xdr:from>
        <xdr:to>
          <xdr:col>10</xdr:col>
          <xdr:colOff>152400</xdr:colOff>
          <xdr:row>34</xdr:row>
          <xdr:rowOff>47625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962025</xdr:colOff>
          <xdr:row>17</xdr:row>
          <xdr:rowOff>114300</xdr:rowOff>
        </xdr:from>
        <xdr:to>
          <xdr:col>9</xdr:col>
          <xdr:colOff>523875</xdr:colOff>
          <xdr:row>19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31</xdr:row>
          <xdr:rowOff>38100</xdr:rowOff>
        </xdr:from>
        <xdr:to>
          <xdr:col>9</xdr:col>
          <xdr:colOff>533400</xdr:colOff>
          <xdr:row>33</xdr:row>
          <xdr:rowOff>38100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taneja006\Documents\excel-training\Intern%20Start%20-%20Excel%20Instructor\Excel%20Gurus%20-%20Foundational%20and%20Intermediate%20Course%205.31.16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!"/>
      <sheetName val="1. Core Concepts"/>
      <sheetName val="2. Sales Data Practice"/>
      <sheetName val="2a. Sales Solutions"/>
      <sheetName val="2b. Product ID"/>
      <sheetName val="3. Data Cleansing"/>
      <sheetName val="3a. Exercise"/>
      <sheetName val="3b. Answers"/>
      <sheetName val="4. Text Functions"/>
      <sheetName val="4a. Exercise"/>
      <sheetName val="4b. Answers"/>
      <sheetName val="5. Dates"/>
      <sheetName val="5a. Exercise"/>
      <sheetName val="5b. Answers"/>
      <sheetName val="6. Vlookup"/>
      <sheetName val="6a. Exercise"/>
      <sheetName val="6b. Answers"/>
      <sheetName val="7. Index Match"/>
      <sheetName val="7a. Exercise"/>
      <sheetName val="7b. Answers"/>
      <sheetName val="8. Indirect"/>
      <sheetName val="8a. Exercise"/>
      <sheetName val="Finance"/>
      <sheetName val="HR"/>
      <sheetName val="IT"/>
      <sheetName val="8e. Answers"/>
      <sheetName val="9. Pivot Tables"/>
      <sheetName val="9a. Exercise"/>
      <sheetName val="9b. Answers"/>
      <sheetName val="10. If Statements"/>
      <sheetName val="10a. Exercise"/>
      <sheetName val="10b. Answers"/>
      <sheetName val="10c.Multiple IF STMTS"/>
      <sheetName val="10d. Exercise"/>
      <sheetName val="10e. Answers"/>
      <sheetName val="11. CountIf &amp; SumIf &amp; AvgIf"/>
      <sheetName val="11a. Exercise"/>
      <sheetName val="11b. Answers"/>
      <sheetName val="12. SumProduct"/>
      <sheetName val="12a. Exercise"/>
      <sheetName val="12b. Answers"/>
      <sheetName val="13. Sensitivity Analysis"/>
      <sheetName val="13a. Exercise"/>
      <sheetName val="13b. Answers"/>
      <sheetName val="14. Power View"/>
      <sheetName val="14. Power View Exercise"/>
      <sheetName val="14. En. Power View"/>
      <sheetName val="14. Ex1 Answers"/>
      <sheetName val="14. Ex2 Answers"/>
      <sheetName val="14. Ex3 Answers"/>
      <sheetName val="15. Formatting Quiz"/>
      <sheetName val="15. Formatting Quiz SOLUTION"/>
      <sheetName val="Appendix"/>
      <sheetName val="Helpful Functions"/>
      <sheetName val="Useful Template"/>
      <sheetName val="L&amp;D Trainings"/>
    </sheetNames>
    <sheetDataSet>
      <sheetData sheetId="0"/>
      <sheetData sheetId="1"/>
      <sheetData sheetId="2"/>
      <sheetData sheetId="3">
        <row r="19">
          <cell r="G19" t="str">
            <v>Super Soft Bulk - 2 Litres</v>
          </cell>
        </row>
        <row r="20">
          <cell r="G20" t="str">
            <v>Super Soft Bulk - 2 Litres</v>
          </cell>
        </row>
        <row r="21">
          <cell r="G21" t="str">
            <v>Super Soft Bulk - 2 Litres</v>
          </cell>
        </row>
        <row r="22">
          <cell r="G22" t="str">
            <v>Super Soft Bulk - 2 Litres</v>
          </cell>
        </row>
        <row r="23">
          <cell r="G23" t="str">
            <v>Super Soft Bulk - 2 Litres</v>
          </cell>
        </row>
        <row r="24">
          <cell r="G24" t="str">
            <v>Super Soft Bulk - 2 Litres</v>
          </cell>
        </row>
        <row r="25">
          <cell r="G25" t="str">
            <v>Super Soft Bulk - 2 Litres</v>
          </cell>
        </row>
        <row r="26">
          <cell r="G26" t="str">
            <v>Super Soft - 1 Litre</v>
          </cell>
        </row>
        <row r="27">
          <cell r="G27" t="str">
            <v>Detafast Stain Remover - 800ml</v>
          </cell>
        </row>
        <row r="28">
          <cell r="G28" t="str">
            <v>Detafast Stain Remover - 800ml</v>
          </cell>
        </row>
        <row r="29">
          <cell r="G29" t="str">
            <v>Detafast Stain Remover - 800ml</v>
          </cell>
        </row>
        <row r="30">
          <cell r="G30" t="str">
            <v>Detafast Stain Remover - 800ml</v>
          </cell>
        </row>
        <row r="31">
          <cell r="G31" t="str">
            <v>Super Soft - 1 Litre</v>
          </cell>
        </row>
        <row r="32">
          <cell r="G32" t="str">
            <v>Super Soft - 1 Litre</v>
          </cell>
        </row>
        <row r="33">
          <cell r="G33" t="str">
            <v>Detafast Stain Remover - 800ml</v>
          </cell>
        </row>
        <row r="34">
          <cell r="G34" t="str">
            <v>Super Soft Bulk - 2 Litres</v>
          </cell>
        </row>
        <row r="35">
          <cell r="G35" t="str">
            <v>Detafast Stain Remover - 800ml</v>
          </cell>
        </row>
        <row r="36">
          <cell r="G36" t="str">
            <v>Super Soft - 500ml</v>
          </cell>
        </row>
        <row r="37">
          <cell r="G37" t="str">
            <v>Super Soft - 1 Litre</v>
          </cell>
        </row>
        <row r="38">
          <cell r="G38" t="str">
            <v>Detafast Stain Remover - 800ml</v>
          </cell>
        </row>
        <row r="39">
          <cell r="G39" t="str">
            <v>Super Soft - 500ml</v>
          </cell>
        </row>
        <row r="40">
          <cell r="G40" t="str">
            <v>Detafast Stain Remover - 800ml</v>
          </cell>
        </row>
        <row r="41">
          <cell r="G41" t="str">
            <v>Detafast Stain Remover - 800ml</v>
          </cell>
        </row>
        <row r="42">
          <cell r="G42" t="str">
            <v>Detafast Stain Remover - 200ml</v>
          </cell>
        </row>
        <row r="43">
          <cell r="G43" t="str">
            <v>Detafast Stain Remover - 100ml</v>
          </cell>
        </row>
        <row r="44">
          <cell r="G44" t="str">
            <v>Super Soft Bulk - 2 Litres</v>
          </cell>
        </row>
        <row r="45">
          <cell r="G45" t="str">
            <v>Detafast Stain Remover - 800ml</v>
          </cell>
        </row>
        <row r="46">
          <cell r="G46" t="str">
            <v>Super Soft - 1 Litre</v>
          </cell>
        </row>
        <row r="47">
          <cell r="G47" t="str">
            <v>Pure Soft Detergent - 250ml</v>
          </cell>
        </row>
        <row r="48">
          <cell r="G48" t="str">
            <v>Pure Soft Detergent - 250ml</v>
          </cell>
        </row>
        <row r="49">
          <cell r="G49" t="str">
            <v>Pure Soft Detergent - 250ml</v>
          </cell>
        </row>
        <row r="50">
          <cell r="G50" t="str">
            <v>Super Soft - 500ml</v>
          </cell>
        </row>
        <row r="51">
          <cell r="G51" t="str">
            <v>Pure Soft Detergent - 250ml</v>
          </cell>
        </row>
        <row r="52">
          <cell r="G52" t="str">
            <v>Detafast Stain Remover - 200ml</v>
          </cell>
        </row>
        <row r="53">
          <cell r="G53" t="str">
            <v>Pure Soft Detergent - 200ml</v>
          </cell>
        </row>
        <row r="54">
          <cell r="G54" t="str">
            <v>Pure Soft Detergent - 250ml</v>
          </cell>
        </row>
        <row r="55">
          <cell r="G55" t="str">
            <v>Super Soft - 500ml</v>
          </cell>
        </row>
        <row r="56">
          <cell r="G56" t="str">
            <v>Detafast Stain Remover - 100ml</v>
          </cell>
        </row>
        <row r="57">
          <cell r="G57" t="str">
            <v>Super Soft - 250ml</v>
          </cell>
        </row>
        <row r="58">
          <cell r="G58" t="str">
            <v>Pure Soft Detergent - 500ml</v>
          </cell>
        </row>
        <row r="59">
          <cell r="G59" t="str">
            <v>Pure Soft Detergent - 200ml</v>
          </cell>
        </row>
        <row r="60">
          <cell r="G60" t="str">
            <v>Detafast Stain Remover - 100ml</v>
          </cell>
        </row>
        <row r="61">
          <cell r="G61" t="str">
            <v>Super Soft - 250ml</v>
          </cell>
        </row>
        <row r="62">
          <cell r="G62" t="str">
            <v>Detafast Stain Remover - 800ml</v>
          </cell>
        </row>
        <row r="63">
          <cell r="G63" t="str">
            <v>Detafast Stain Remover - 200ml</v>
          </cell>
        </row>
        <row r="64">
          <cell r="G64" t="str">
            <v>Pure Soft Detergent - 500ml</v>
          </cell>
        </row>
        <row r="65">
          <cell r="G65" t="str">
            <v>Pure Soft Detergent - 250ml</v>
          </cell>
        </row>
        <row r="66">
          <cell r="G66" t="str">
            <v>Detafast Stain Remover - 200ml</v>
          </cell>
        </row>
        <row r="67">
          <cell r="G67" t="str">
            <v>Super Soft - 250ml</v>
          </cell>
        </row>
        <row r="68">
          <cell r="G68" t="str">
            <v>Pure Soft Detergent - 200ml</v>
          </cell>
        </row>
        <row r="69">
          <cell r="G69" t="str">
            <v>Detafast Stain Remover - 100ml</v>
          </cell>
        </row>
        <row r="70">
          <cell r="G70" t="str">
            <v>Super Soft - 500ml</v>
          </cell>
        </row>
        <row r="71">
          <cell r="G71" t="str">
            <v>Super Soft - 500ml</v>
          </cell>
        </row>
        <row r="72">
          <cell r="G72" t="str">
            <v>Super Soft - 500ml</v>
          </cell>
        </row>
        <row r="73">
          <cell r="G73" t="str">
            <v>Super Soft - 250ml</v>
          </cell>
        </row>
        <row r="74">
          <cell r="G74" t="str">
            <v>Pure Soft Detergent - 200ml</v>
          </cell>
        </row>
        <row r="75">
          <cell r="G75" t="str">
            <v>Pure Soft Detergent - 100ml</v>
          </cell>
        </row>
        <row r="76">
          <cell r="G76" t="str">
            <v>Super Soft Bulk - 2 Litres</v>
          </cell>
        </row>
        <row r="77">
          <cell r="G77" t="str">
            <v>Detafast Stain Remover - 100ml</v>
          </cell>
        </row>
        <row r="78">
          <cell r="G78" t="str">
            <v>Pure Soft Detergent - 200ml</v>
          </cell>
        </row>
        <row r="79">
          <cell r="G79" t="str">
            <v>Pure Soft Detergent - 500ml</v>
          </cell>
        </row>
        <row r="80">
          <cell r="G80" t="str">
            <v>Detafast Stain Remover - 100ml</v>
          </cell>
        </row>
        <row r="81">
          <cell r="G81" t="str">
            <v>Pure Soft Detergent - 250ml</v>
          </cell>
        </row>
        <row r="82">
          <cell r="G82" t="str">
            <v>Pure Soft Detergent - 200ml</v>
          </cell>
        </row>
        <row r="83">
          <cell r="G83" t="str">
            <v>Pure Soft Detergent - 250ml</v>
          </cell>
        </row>
        <row r="84">
          <cell r="G84" t="str">
            <v>Detafast Stain Remover - 200ml</v>
          </cell>
        </row>
        <row r="85">
          <cell r="G85" t="str">
            <v>Super Soft - 500ml</v>
          </cell>
        </row>
        <row r="86">
          <cell r="G86" t="str">
            <v>Detafast Stain Remover - 200ml</v>
          </cell>
        </row>
        <row r="87">
          <cell r="G87" t="str">
            <v>Pure Soft Detergent - 100ml</v>
          </cell>
        </row>
        <row r="88">
          <cell r="G88" t="str">
            <v>Detafast Stain Remover - 800ml</v>
          </cell>
        </row>
        <row r="89">
          <cell r="G89" t="str">
            <v>Pure Soft Detergent - 500ml</v>
          </cell>
        </row>
        <row r="90">
          <cell r="G90" t="str">
            <v>Super Soft - 1 Litre</v>
          </cell>
        </row>
        <row r="91">
          <cell r="G91" t="str">
            <v>Detafast Stain Remover - 200ml</v>
          </cell>
        </row>
        <row r="92">
          <cell r="G92" t="str">
            <v>Pure Soft Detergent - 200ml</v>
          </cell>
        </row>
        <row r="93">
          <cell r="G93" t="str">
            <v>Super Soft - 1 Litre</v>
          </cell>
        </row>
        <row r="94">
          <cell r="G94" t="str">
            <v>Super Soft - 1 Litre</v>
          </cell>
        </row>
        <row r="95">
          <cell r="G95" t="str">
            <v>Pure Soft Detergent - 100ml</v>
          </cell>
        </row>
        <row r="96">
          <cell r="G96" t="str">
            <v>Pure Soft Detergent - 100ml</v>
          </cell>
        </row>
        <row r="97">
          <cell r="G97" t="str">
            <v>Super Soft - 250ml</v>
          </cell>
        </row>
        <row r="98">
          <cell r="G98" t="str">
            <v>Pure Soft Detergent - 100ml</v>
          </cell>
        </row>
        <row r="99">
          <cell r="G99" t="str">
            <v>Pure Soft Detergent - 100ml</v>
          </cell>
        </row>
        <row r="100">
          <cell r="G100" t="str">
            <v>Pure Soft Detergent - 200ml</v>
          </cell>
        </row>
        <row r="101">
          <cell r="G101" t="str">
            <v>Detafast Stain Remover - 200ml</v>
          </cell>
        </row>
        <row r="102">
          <cell r="G102" t="str">
            <v>Detafast Stain Remover - 100ml</v>
          </cell>
        </row>
        <row r="103">
          <cell r="G103" t="str">
            <v>Pure Soft Detergent - 500ml</v>
          </cell>
        </row>
        <row r="104">
          <cell r="G104" t="str">
            <v>Super Soft Bulk - 2 Litres</v>
          </cell>
        </row>
        <row r="105">
          <cell r="G105" t="str">
            <v>Pure Soft Detergent - 200ml</v>
          </cell>
        </row>
        <row r="106">
          <cell r="G106" t="str">
            <v>Super Soft - 500ml</v>
          </cell>
        </row>
        <row r="107">
          <cell r="G107" t="str">
            <v>Detafast Stain Remover - 100ml</v>
          </cell>
        </row>
        <row r="108">
          <cell r="G108" t="str">
            <v>Pure Soft Detergent - 100ml</v>
          </cell>
        </row>
        <row r="109">
          <cell r="G109" t="str">
            <v>Pure Soft Detergent - 200ml</v>
          </cell>
        </row>
        <row r="110">
          <cell r="G110" t="str">
            <v>Super Soft - 1 Litre</v>
          </cell>
        </row>
        <row r="111">
          <cell r="G111" t="str">
            <v>Super Soft - 500ml</v>
          </cell>
        </row>
        <row r="112">
          <cell r="G112" t="str">
            <v>Pure Soft Detergent - 100ml</v>
          </cell>
        </row>
        <row r="113">
          <cell r="G113" t="str">
            <v>Pure Soft Detergent - 500ml</v>
          </cell>
        </row>
        <row r="114">
          <cell r="G114" t="str">
            <v>Super Soft - 1 Litre</v>
          </cell>
        </row>
        <row r="115">
          <cell r="G115" t="str">
            <v>Super Soft - 1 Litre</v>
          </cell>
        </row>
        <row r="116">
          <cell r="G116" t="str">
            <v>Pure Soft Detergent - 200ml</v>
          </cell>
        </row>
        <row r="117">
          <cell r="G117" t="str">
            <v>Pure Soft Detergent - 250ml</v>
          </cell>
        </row>
        <row r="118">
          <cell r="G118" t="str">
            <v>Pure Soft Detergent - 100ml</v>
          </cell>
        </row>
        <row r="119">
          <cell r="G119" t="str">
            <v>Pure Soft Detergent - 250ml</v>
          </cell>
        </row>
        <row r="120">
          <cell r="G120" t="str">
            <v>Pure Soft Detergent - 250ml</v>
          </cell>
        </row>
        <row r="121">
          <cell r="G121" t="str">
            <v>Pure Soft Detergent - 100ml</v>
          </cell>
        </row>
        <row r="122">
          <cell r="G122" t="str">
            <v>Super Soft - 250ml</v>
          </cell>
        </row>
        <row r="123">
          <cell r="G123" t="str">
            <v>Super Soft - 500ml</v>
          </cell>
        </row>
        <row r="124">
          <cell r="G124" t="str">
            <v>Super Soft - 250ml</v>
          </cell>
        </row>
        <row r="125">
          <cell r="G125" t="str">
            <v>Pure Soft Detergent - 100ml</v>
          </cell>
        </row>
      </sheetData>
      <sheetData sheetId="4">
        <row r="12">
          <cell r="C12" t="str">
            <v>PURA100</v>
          </cell>
          <cell r="D12" t="str">
            <v>Pure Soft Detergent - 100ml</v>
          </cell>
        </row>
        <row r="13">
          <cell r="C13" t="str">
            <v>PURA200</v>
          </cell>
          <cell r="D13" t="str">
            <v>Pure Soft Detergent - 200ml</v>
          </cell>
        </row>
        <row r="14">
          <cell r="C14" t="str">
            <v>PURA250</v>
          </cell>
          <cell r="D14" t="str">
            <v>Pure Soft Detergent - 250ml</v>
          </cell>
        </row>
        <row r="15">
          <cell r="C15" t="str">
            <v>PURA500</v>
          </cell>
          <cell r="D15" t="str">
            <v>Pure Soft Detergent - 500ml</v>
          </cell>
        </row>
        <row r="16">
          <cell r="C16" t="str">
            <v>DETA100</v>
          </cell>
          <cell r="D16" t="str">
            <v>Detafast Stain Remover - 100ml</v>
          </cell>
        </row>
        <row r="17">
          <cell r="C17" t="str">
            <v>DETA200</v>
          </cell>
          <cell r="D17" t="str">
            <v>Detafast Stain Remover - 200ml</v>
          </cell>
        </row>
        <row r="18">
          <cell r="C18" t="str">
            <v>DETA800</v>
          </cell>
          <cell r="D18" t="str">
            <v>Detafast Stain Remover - 800ml</v>
          </cell>
        </row>
        <row r="19">
          <cell r="C19" t="str">
            <v>SUPA102</v>
          </cell>
          <cell r="D19" t="str">
            <v>Super Soft - 250ml</v>
          </cell>
        </row>
        <row r="20">
          <cell r="C20" t="str">
            <v>SUPA103</v>
          </cell>
          <cell r="D20" t="str">
            <v>Super Soft - 500ml</v>
          </cell>
        </row>
        <row r="21">
          <cell r="C21" t="str">
            <v>SUPA104</v>
          </cell>
          <cell r="D21" t="str">
            <v>Super Soft - 1 Litre</v>
          </cell>
        </row>
        <row r="22">
          <cell r="C22" t="str">
            <v>SUPA105</v>
          </cell>
          <cell r="D22" t="str">
            <v>Super Soft Bulk - 2 Litres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0000000}" name="table_data" displayName="table_data" ref="B7:L114" totalsRowShown="0" headerRowDxfId="179" tableBorderDxfId="178" headerRowCellStyle="Currency">
  <autoFilter ref="B7:L114" xr:uid="{00000000-0009-0000-0100-000016000000}"/>
  <tableColumns count="11">
    <tableColumn id="1" xr3:uid="{00000000-0010-0000-0000-000001000000}" name="Distributor ID" dataDxfId="177"/>
    <tableColumn id="2" xr3:uid="{00000000-0010-0000-0000-000002000000}" name="Distributor Name" dataDxfId="176"/>
    <tableColumn id="3" xr3:uid="{00000000-0010-0000-0000-000003000000}" name="Country" dataDxfId="175"/>
    <tableColumn id="4" xr3:uid="{00000000-0010-0000-0000-000004000000}" name="Product Code" dataDxfId="174"/>
    <tableColumn id="5" xr3:uid="{00000000-0010-0000-0000-000005000000}" name="Product" dataDxfId="173"/>
    <tableColumn id="6" xr3:uid="{00000000-0010-0000-0000-000006000000}" name="Sales Channel" dataDxfId="172"/>
    <tableColumn id="7" xr3:uid="{00000000-0010-0000-0000-000007000000}" name="Date Sold" dataDxfId="171"/>
    <tableColumn id="8" xr3:uid="{00000000-0010-0000-0000-000008000000}" name="Month Sold" dataDxfId="170"/>
    <tableColumn id="9" xr3:uid="{00000000-0010-0000-0000-000009000000}" name="Quantity" dataDxfId="169"/>
    <tableColumn id="10" xr3:uid="{00000000-0010-0000-0000-00000A000000}" name="Unit Price" dataDxfId="168" dataCellStyle="Currency"/>
    <tableColumn id="11" xr3:uid="{00000000-0010-0000-0000-00000B000000}" name="Revenue" dataDxfId="16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able_problem1A_sales" displayName="table_problem1A_sales" ref="B11:C22" totalsRowShown="0" headerRowDxfId="166" dataDxfId="164" headerRowBorderDxfId="165" tableBorderDxfId="163" totalsRowBorderDxfId="162">
  <autoFilter ref="B11:C22" xr:uid="{00000000-0009-0000-0100-00000E000000}"/>
  <tableColumns count="2">
    <tableColumn id="1" xr3:uid="{00000000-0010-0000-0100-000001000000}" name="Product" dataDxfId="18"/>
    <tableColumn id="3" xr3:uid="{00000000-0010-0000-0100-000003000000}" name="# of sales_x000a_Using COUNTIFS" dataDxfId="17">
      <calculatedColumnFormula>COUNTIFS(DataSet,B12)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_problem1A_sales_channel" displayName="table_problem1A_sales_channel" ref="B37:C40" totalsRowShown="0" headerRowDxfId="161" dataDxfId="159" headerRowBorderDxfId="160" tableBorderDxfId="158" totalsRowBorderDxfId="157">
  <autoFilter ref="B37:C40" xr:uid="{00000000-0009-0000-0100-000001000000}"/>
  <tableColumns count="2">
    <tableColumn id="1" xr3:uid="{00000000-0010-0000-0200-000001000000}" name="Sales Channel" dataDxfId="156" dataCellStyle="Normal 2"/>
    <tableColumn id="2" xr3:uid="{00000000-0010-0000-0200-000002000000}" name="# of sales_x000a_(Using COUNTIFS)" dataDxfId="16" dataCellStyle="Comma">
      <calculatedColumnFormula>COUNTIFS(DataSet,B38)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le114" displayName="Table114" ref="B12:D23" totalsRowShown="0" headerRowDxfId="155" dataDxfId="153" headerRowBorderDxfId="154" tableBorderDxfId="152" totalsRowBorderDxfId="151">
  <autoFilter ref="B12:D23" xr:uid="{00000000-0009-0000-0100-00000D000000}"/>
  <tableColumns count="3">
    <tableColumn id="1" xr3:uid="{00000000-0010-0000-0300-000001000000}" name="Product" dataDxfId="150"/>
    <tableColumn id="2" xr3:uid="{00000000-0010-0000-0300-000002000000}" name="# of Distributors (each country has a single distributor)_x000a_Using COUNTIF" dataDxfId="149">
      <calculatedColumnFormula>COUNTIF('Data Set'!$F$7:$F$114,$B13)</calculatedColumnFormula>
    </tableColumn>
    <tableColumn id="3" xr3:uid="{00000000-0010-0000-0300-000003000000}" name="# of Distributors (each country has a single distributor)_x000a_Using COUNTIFS" dataDxfId="148" dataCellStyle="Normal 2">
      <calculatedColumnFormula>COUNTIFS('Data Set'!$F$7:$F$114,$B13)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4000000}" name="table_problem2B_distributors2" displayName="table_problem2B_distributors2" ref="B35:D45" totalsRowShown="0" headerRowDxfId="147" dataDxfId="145" headerRowBorderDxfId="146" tableBorderDxfId="144" totalsRowBorderDxfId="143">
  <autoFilter ref="B35:D45" xr:uid="{00000000-0009-0000-0100-000012000000}"/>
  <tableColumns count="3">
    <tableColumn id="1" xr3:uid="{00000000-0010-0000-0400-000001000000}" name="Product" dataDxfId="142"/>
    <tableColumn id="2" xr3:uid="{00000000-0010-0000-0400-000002000000}" name="Quantity Sold" dataDxfId="141" dataCellStyle="Normal 2"/>
    <tableColumn id="6" xr3:uid="{00000000-0010-0000-0400-000006000000}" name="# of Sales" dataDxfId="13">
      <calculatedColumnFormula>COUNTIFS('Data Set'!$F$8:$F$114,B36,'Data Set'!$J$8:$J$114,C36)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le_problem2A" displayName="table_problem2A" ref="B13:C16" totalsRowShown="0" headerRowDxfId="140" dataDxfId="138" headerRowBorderDxfId="139" tableBorderDxfId="137" totalsRowBorderDxfId="136">
  <autoFilter ref="B13:C16" xr:uid="{00000000-0009-0000-0100-000002000000}"/>
  <tableColumns count="2">
    <tableColumn id="1" xr3:uid="{00000000-0010-0000-0500-000001000000}" name="Sales Channel" dataDxfId="135" dataCellStyle="Normal 2"/>
    <tableColumn id="2" xr3:uid="{00000000-0010-0000-0500-000002000000}" name="# of Sales" dataDxfId="14" dataCellStyle="Comma">
      <calculatedColumnFormula>COUNTIFS('Data Set'!$F$8:$F$114,$C$11,'Data Set'!$G$8:$G$114,$B14)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e_problem2B_distributors" displayName="table_problem2B_distributors" ref="B24:C27" totalsRowShown="0" headerRowDxfId="134" dataDxfId="132" headerRowBorderDxfId="133" tableBorderDxfId="131" totalsRowBorderDxfId="130">
  <autoFilter ref="B24:C27" xr:uid="{00000000-0009-0000-0100-000003000000}"/>
  <tableColumns count="2">
    <tableColumn id="1" xr3:uid="{00000000-0010-0000-0600-000001000000}" name="Sales Channel" dataDxfId="129" dataCellStyle="Normal 2"/>
    <tableColumn id="2" xr3:uid="{00000000-0010-0000-0600-000002000000}" name="# of Sales (Quantity &gt; 100)" dataDxfId="15" dataCellStyle="Comma">
      <calculatedColumnFormula>COUNTIFS('Data Set'!$F$8:$F$114,$C$11,'Data Set'!$G$8:$G$114,$B25,'Data Set'!$J$8:$J$114,"&gt;100")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7000000}" name="Table114151922" displayName="Table114151922" ref="B33:D43" totalsRowShown="0" headerRowDxfId="128" dataDxfId="126" headerRowBorderDxfId="127" tableBorderDxfId="125" totalsRowBorderDxfId="124">
  <autoFilter ref="B33:D43" xr:uid="{00000000-0009-0000-0100-000015000000}"/>
  <tableColumns count="3">
    <tableColumn id="1" xr3:uid="{00000000-0010-0000-0700-000001000000}" name="Product" dataDxfId="123"/>
    <tableColumn id="2" xr3:uid="{00000000-0010-0000-0700-000002000000}" name="Quantity Sold" dataDxfId="122" dataCellStyle="Normal 2"/>
    <tableColumn id="6" xr3:uid="{00000000-0010-0000-0700-000006000000}" name="# of distributors" dataDxfId="121">
      <calculatedColumnFormula>COUNTIFS('Data Set'!$F$7:$F$114,$B34,'Data Set'!$J$7:$J$114,$C34)</calculatedColumnFormula>
    </tableColumn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le_problem3A" displayName="table_problem3A" ref="B13:C24" totalsRowShown="0" headerRowDxfId="120" dataDxfId="118" headerRowBorderDxfId="119" tableBorderDxfId="117" totalsRowBorderDxfId="116">
  <autoFilter ref="B13:C24" xr:uid="{00000000-0009-0000-0100-00000F000000}"/>
  <tableColumns count="2">
    <tableColumn id="1" xr3:uid="{00000000-0010-0000-0800-000001000000}" name="Product" dataDxfId="115"/>
    <tableColumn id="3" xr3:uid="{00000000-0010-0000-0800-000003000000}" name="Total Revenue_x000a_(Using SUMIFS)" dataDxfId="12" dataCellStyle="Currency">
      <calculatedColumnFormula>SUMIFS('Data Set'!$L$8:$L$114,'Data Set'!$F$8:$F$114,B14)</calculatedColumnFormula>
    </tableColumn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9000000}" name="Table1517" displayName="Table1517" ref="B13:D24" totalsRowShown="0" headerRowDxfId="114" dataDxfId="112" headerRowBorderDxfId="113" tableBorderDxfId="111" totalsRowBorderDxfId="110">
  <autoFilter ref="B13:D24" xr:uid="{00000000-0009-0000-0100-000010000000}"/>
  <tableColumns count="3">
    <tableColumn id="1" xr3:uid="{00000000-0010-0000-0900-000001000000}" name="Product" dataDxfId="109"/>
    <tableColumn id="2" xr3:uid="{00000000-0010-0000-0900-000002000000}" name="Total Revenue_x000a_(Using SUMIF)" dataDxfId="108" dataCellStyle="Currency">
      <calculatedColumnFormula>SUMIF('Data Set'!$F$7:$F$114,$B14,'Data Set'!$L$7:$L$114)</calculatedColumnFormula>
    </tableColumn>
    <tableColumn id="3" xr3:uid="{00000000-0010-0000-0900-000003000000}" name="Total Revenue_x000a_(Using SUMIFS)" dataDxfId="107" dataCellStyle="Comma">
      <calculatedColumnFormula>SUMIFS('Data Set'!$L$7:$L$114,'Data Set'!$F$7:$F$114,$B14)</calculatedColumnFormula>
    </tableColumn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A000000}" name="table_problem4B_revenue" displayName="table_problem4B_revenue" ref="B41:D51" totalsRowShown="0" headerRowDxfId="106" dataDxfId="104" headerRowBorderDxfId="105" tableBorderDxfId="103" totalsRowBorderDxfId="102">
  <autoFilter ref="B41:D51" xr:uid="{00000000-0009-0000-0100-000018000000}"/>
  <tableColumns count="3">
    <tableColumn id="1" xr3:uid="{00000000-0010-0000-0A00-000001000000}" name="Product" dataDxfId="101"/>
    <tableColumn id="2" xr3:uid="{00000000-0010-0000-0A00-000002000000}" name="Country" dataDxfId="100" dataCellStyle="Normal 2"/>
    <tableColumn id="6" xr3:uid="{00000000-0010-0000-0A00-000006000000}" name="Total Revenue" dataDxfId="8" dataCellStyle="Currency">
      <calculatedColumnFormula>SUMIFS(table_data[Revenue],table_data[Product],B42,table_data[Country],C42)</calculatedColumnFormula>
    </tableColumn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table_problem4A" displayName="table_problem4A" ref="B11:C14" totalsRowShown="0" headerRowDxfId="99" dataDxfId="97" headerRowBorderDxfId="98" tableBorderDxfId="96" totalsRowBorderDxfId="95">
  <autoFilter ref="B11:C14" xr:uid="{00000000-0009-0000-0100-000004000000}"/>
  <tableColumns count="2">
    <tableColumn id="1" xr3:uid="{00000000-0010-0000-0B00-000001000000}" name="Sales Channel" dataDxfId="94" dataCellStyle="Normal 2"/>
    <tableColumn id="2" xr3:uid="{00000000-0010-0000-0B00-000002000000}" name="Total Revenue (Units sold &gt; 100)" dataDxfId="11" dataCellStyle="Currency">
      <calculatedColumnFormula>SUMIFS(table_data[Revenue],table_data[Quantity],"&gt;100",table_data[Sales Channel],table_problem4A[[#This Row],[Sales Channel]])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C000000}" name="table_problem4B_salesbychannel" displayName="table_problem4B_salesbychannel" ref="B22:E33" totalsRowShown="0" headerRowDxfId="93" dataDxfId="91" headerRowBorderDxfId="92" tableBorderDxfId="90" totalsRowBorderDxfId="89" headerRowCellStyle="Comma">
  <autoFilter ref="B22:E33" xr:uid="{00000000-0009-0000-0100-000005000000}"/>
  <tableColumns count="4">
    <tableColumn id="1" xr3:uid="{00000000-0010-0000-0C00-000001000000}" name="Product" dataDxfId="88" dataCellStyle="Normal 2"/>
    <tableColumn id="2" xr3:uid="{00000000-0010-0000-0C00-000002000000}" name="Online" dataDxfId="10" dataCellStyle="Currency">
      <calculatedColumnFormula>SUMIFS(table_data[Revenue],table_data[Sales Channel],C$22,table_data[Product],table_problem4B_salesbychannel[[#This Row],[Product]])</calculatedColumnFormula>
    </tableColumn>
    <tableColumn id="3" xr3:uid="{00000000-0010-0000-0C00-000003000000}" name="Direct" dataDxfId="9" dataCellStyle="Currency">
      <calculatedColumnFormula>SUMIFS(table_data[Revenue],table_data[Sales Channel],D$22,table_data[Product],table_problem4B_salesbychannel[[#This Row],[Product]])</calculatedColumnFormula>
    </tableColumn>
    <tableColumn id="4" xr3:uid="{00000000-0010-0000-0C00-000004000000}" name="Retail" dataDxfId="87" dataCellStyle="Currency">
      <calculatedColumnFormula>SUMIFS(table_data[Revenue],table_data[Sales Channel],E$22,table_data[Product],table_problem4B_salesbychannel[[#This Row],[Product]])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D000000}" name="Table1141519222527" displayName="Table1141519222527" ref="B41:D51" totalsRowShown="0" headerRowDxfId="86" dataDxfId="84" headerRowBorderDxfId="85" tableBorderDxfId="83" totalsRowBorderDxfId="82">
  <autoFilter ref="B41:D51" xr:uid="{00000000-0009-0000-0100-00001A000000}"/>
  <tableColumns count="3">
    <tableColumn id="1" xr3:uid="{00000000-0010-0000-0D00-000001000000}" name="Product" dataDxfId="81"/>
    <tableColumn id="2" xr3:uid="{00000000-0010-0000-0D00-000002000000}" name="Country" dataDxfId="80" dataCellStyle="Normal 2"/>
    <tableColumn id="6" xr3:uid="{00000000-0010-0000-0D00-000006000000}" name="Total Revenue" dataDxfId="79" dataCellStyle="Currency">
      <calculatedColumnFormula>SUMIFS('Data Set'!$L$7:$L$114,'Data Set'!$F$7:$F$114,$B42,'Data Set'!$D$7:$D$114,$C42)</calculatedColumnFormula>
    </tableColumn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E000000}" name="table_problem5A" displayName="table_problem5A" ref="B13:G18" totalsRowShown="0" headerRowDxfId="78" tableBorderDxfId="77" headerRowCellStyle="Comma">
  <autoFilter ref="B13:G18" xr:uid="{00000000-0009-0000-0100-000006000000}"/>
  <tableColumns count="6">
    <tableColumn id="1" xr3:uid="{00000000-0010-0000-0E00-000001000000}" name="Region" dataDxfId="76" dataCellStyle="Normal 2"/>
    <tableColumn id="2" xr3:uid="{00000000-0010-0000-0E00-000002000000}" name="Product" dataDxfId="75" dataCellStyle="Normal 2"/>
    <tableColumn id="3" xr3:uid="{00000000-0010-0000-0E00-000003000000}" name="QTY" dataDxfId="74" dataCellStyle="Normal 2"/>
    <tableColumn id="4" xr3:uid="{00000000-0010-0000-0E00-000004000000}" name="Unit Price" dataDxfId="73" dataCellStyle="Normal 2"/>
    <tableColumn id="5" xr3:uid="{00000000-0010-0000-0E00-000005000000}" name="Revenue" dataDxfId="72" dataCellStyle="Normal 2"/>
    <tableColumn id="6" xr3:uid="{00000000-0010-0000-0E00-000006000000}" name="Analysis" dataDxfId="7" dataCellStyle="Normal 2">
      <calculatedColumnFormula>IF(F14&gt;=$C$11,"yes","no")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F000000}" name="table_problem5B" displayName="table_problem5B" ref="B26:G31" totalsRowShown="0" headerRowDxfId="71" tableBorderDxfId="70" headerRowCellStyle="Comma">
  <autoFilter ref="B26:G31" xr:uid="{00000000-0009-0000-0100-000007000000}"/>
  <tableColumns count="6">
    <tableColumn id="1" xr3:uid="{00000000-0010-0000-0F00-000001000000}" name="Region" dataDxfId="69" dataCellStyle="Normal 2"/>
    <tableColumn id="2" xr3:uid="{00000000-0010-0000-0F00-000002000000}" name="Product" dataDxfId="68" dataCellStyle="Normal 2"/>
    <tableColumn id="3" xr3:uid="{00000000-0010-0000-0F00-000003000000}" name="QTY" dataDxfId="67" dataCellStyle="Normal 2"/>
    <tableColumn id="4" xr3:uid="{00000000-0010-0000-0F00-000004000000}" name="Unit Price" dataDxfId="66" dataCellStyle="Normal 2"/>
    <tableColumn id="5" xr3:uid="{00000000-0010-0000-0F00-000005000000}" name="Revenue" dataDxfId="65" dataCellStyle="Normal 2"/>
    <tableColumn id="6" xr3:uid="{00000000-0010-0000-0F00-000006000000}" name="Analysis" dataDxfId="6" dataCellStyle="Normal 2">
      <calculatedColumnFormula>IF(F27&gt;=$C$11,D27,"target not met")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0000000}" name="table_problem6A" displayName="table_problem6A" ref="B15:G20" totalsRowShown="0" headerRowDxfId="64" dataDxfId="63" tableBorderDxfId="62" headerRowCellStyle="Comma">
  <autoFilter ref="B15:G20" xr:uid="{00000000-0009-0000-0100-000008000000}"/>
  <tableColumns count="6">
    <tableColumn id="1" xr3:uid="{00000000-0010-0000-1000-000001000000}" name="Region" dataDxfId="61" dataCellStyle="Normal 2"/>
    <tableColumn id="2" xr3:uid="{00000000-0010-0000-1000-000002000000}" name="Product" dataDxfId="60" dataCellStyle="Normal 2"/>
    <tableColumn id="3" xr3:uid="{00000000-0010-0000-1000-000003000000}" name="QTY" dataDxfId="59" dataCellStyle="Normal 2"/>
    <tableColumn id="4" xr3:uid="{00000000-0010-0000-1000-000004000000}" name="Unit Price" dataDxfId="58" dataCellStyle="Normal 2"/>
    <tableColumn id="5" xr3:uid="{00000000-0010-0000-1000-000005000000}" name="Revenue" dataDxfId="57" dataCellStyle="Normal 2"/>
    <tableColumn id="6" xr3:uid="{00000000-0010-0000-1000-000006000000}" name="Analysis" dataDxfId="5" dataCellStyle="Normal 2">
      <calculatedColumnFormula>IF(AND(E16&gt;=$C$11,F16&gt;=$C$13),"yes","no")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1000000}" name="table_problem6B" displayName="table_problem6B" ref="B30:G35" totalsRowShown="0" headerRowDxfId="56" tableBorderDxfId="55" headerRowCellStyle="Comma">
  <autoFilter ref="B30:G35" xr:uid="{00000000-0009-0000-0100-000009000000}"/>
  <tableColumns count="6">
    <tableColumn id="1" xr3:uid="{00000000-0010-0000-1100-000001000000}" name="Region" dataDxfId="54" dataCellStyle="Normal 2"/>
    <tableColumn id="2" xr3:uid="{00000000-0010-0000-1100-000002000000}" name="Product" dataDxfId="53" dataCellStyle="Normal 2"/>
    <tableColumn id="3" xr3:uid="{00000000-0010-0000-1100-000003000000}" name="QTY" dataDxfId="52" dataCellStyle="Normal 2"/>
    <tableColumn id="4" xr3:uid="{00000000-0010-0000-1100-000004000000}" name="Unit Price" dataDxfId="51" dataCellStyle="Normal 2"/>
    <tableColumn id="5" xr3:uid="{00000000-0010-0000-1100-000005000000}" name="Revenue" dataDxfId="50" dataCellStyle="Normal 2"/>
    <tableColumn id="6" xr3:uid="{00000000-0010-0000-1100-000006000000}" name="Analysis" dataDxfId="4" dataCellStyle="Normal 2">
      <calculatedColumnFormula>IF(AND(E16&gt;$C$11,F16&gt;$C$13),B31,"NA")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2000000}" name="table_problem7A" displayName="table_problem7A" ref="B11:G16" totalsRowShown="0" headerRowDxfId="49" tableBorderDxfId="48" headerRowCellStyle="Comma">
  <autoFilter ref="B11:G16" xr:uid="{00000000-0009-0000-0100-00000A000000}"/>
  <tableColumns count="6">
    <tableColumn id="1" xr3:uid="{00000000-0010-0000-1200-000001000000}" name="Sales Channel" dataDxfId="47" dataCellStyle="Normal 2"/>
    <tableColumn id="2" xr3:uid="{00000000-0010-0000-1200-000002000000}" name="Distributor" dataDxfId="46" dataCellStyle="Normal 2"/>
    <tableColumn id="3" xr3:uid="{00000000-0010-0000-1200-000003000000}" name="Industry" dataDxfId="45" dataCellStyle="Normal 2"/>
    <tableColumn id="4" xr3:uid="{00000000-0010-0000-1200-000004000000}" name="Revenue" dataDxfId="44" dataCellStyle="Normal 2"/>
    <tableColumn id="5" xr3:uid="{00000000-0010-0000-1200-000005000000}" name="Country" dataDxfId="43" dataCellStyle="Normal 2"/>
    <tableColumn id="6" xr3:uid="{00000000-0010-0000-1200-000006000000}" name="Analysis" dataDxfId="3" dataCellStyle="Normal 2">
      <calculatedColumnFormula>IF(B12&lt;&gt;"online",C12," ")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3000000}" name="table_problem7B" displayName="table_problem7B" ref="B26:G31" totalsRowShown="0" headerRowDxfId="42" dataDxfId="41" tableBorderDxfId="40" headerRowCellStyle="Comma">
  <autoFilter ref="B26:G31" xr:uid="{00000000-0009-0000-0100-00000B000000}"/>
  <tableColumns count="6">
    <tableColumn id="1" xr3:uid="{00000000-0010-0000-1300-000001000000}" name="Sales Channel" dataDxfId="39" dataCellStyle="Normal 2"/>
    <tableColumn id="2" xr3:uid="{00000000-0010-0000-1300-000002000000}" name="Distributor" dataDxfId="38" dataCellStyle="Normal 2"/>
    <tableColumn id="3" xr3:uid="{00000000-0010-0000-1300-000003000000}" name="Industry" dataDxfId="37" dataCellStyle="Normal 2"/>
    <tableColumn id="4" xr3:uid="{00000000-0010-0000-1300-000004000000}" name="Revenue" dataDxfId="36" dataCellStyle="Normal 2"/>
    <tableColumn id="5" xr3:uid="{00000000-0010-0000-1300-000005000000}" name="Country" dataDxfId="35" dataCellStyle="Normal 2"/>
    <tableColumn id="6" xr3:uid="{00000000-0010-0000-1300-000006000000}" name="Analysis" dataDxfId="2" dataCellStyle="Normal 2">
      <calculatedColumnFormula>IF(OR(B27="online",E27&gt;1000),C27,"")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4000000}" name="table_problem8A" displayName="table_problem8A" ref="B11:H16" totalsRowShown="0" headerRowDxfId="34" tableBorderDxfId="33" headerRowCellStyle="Comma">
  <autoFilter ref="B11:H16" xr:uid="{00000000-0009-0000-0100-00000C000000}"/>
  <tableColumns count="7">
    <tableColumn id="1" xr3:uid="{00000000-0010-0000-1400-000001000000}" name="Sales Channel" dataDxfId="32" dataCellStyle="Normal 2"/>
    <tableColumn id="2" xr3:uid="{00000000-0010-0000-1400-000002000000}" name="Distributor" dataDxfId="31" dataCellStyle="Normal 2"/>
    <tableColumn id="3" xr3:uid="{00000000-0010-0000-1400-000003000000}" name="Industry" dataDxfId="30" dataCellStyle="Normal 2"/>
    <tableColumn id="4" xr3:uid="{00000000-0010-0000-1400-000004000000}" name="Revenue" dataDxfId="29" dataCellStyle="Normal 2"/>
    <tableColumn id="5" xr3:uid="{00000000-0010-0000-1400-000005000000}" name="QTY" dataDxfId="28" dataCellStyle="Normal 2"/>
    <tableColumn id="6" xr3:uid="{00000000-0010-0000-1400-000006000000}" name="Country" dataDxfId="27" dataCellStyle="Normal 2"/>
    <tableColumn id="7" xr3:uid="{00000000-0010-0000-1400-000007000000}" name="Analysis" dataDxfId="1" dataCellStyle="Normal 2">
      <calculatedColumnFormula>IF(B12="online",D12,IF(E12&lt;500,C12,""))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5000000}" name="table_problem8B" displayName="table_problem8B" ref="B30:H35" totalsRowShown="0" headerRowDxfId="26" tableBorderDxfId="25" headerRowCellStyle="Comma">
  <autoFilter ref="B30:H35" xr:uid="{00000000-0009-0000-0100-000011000000}"/>
  <tableColumns count="7">
    <tableColumn id="1" xr3:uid="{00000000-0010-0000-1500-000001000000}" name="Sales Channel" dataDxfId="24" dataCellStyle="Normal 2"/>
    <tableColumn id="2" xr3:uid="{00000000-0010-0000-1500-000002000000}" name="Distributor" dataDxfId="23" dataCellStyle="Normal 2"/>
    <tableColumn id="3" xr3:uid="{00000000-0010-0000-1500-000003000000}" name="Industry" dataDxfId="22" dataCellStyle="Normal 2"/>
    <tableColumn id="4" xr3:uid="{00000000-0010-0000-1500-000004000000}" name="Revenue" dataDxfId="21" dataCellStyle="Normal 2"/>
    <tableColumn id="5" xr3:uid="{00000000-0010-0000-1500-000005000000}" name="QTY" dataDxfId="20" dataCellStyle="Normal 2"/>
    <tableColumn id="6" xr3:uid="{00000000-0010-0000-1500-000006000000}" name="Country" dataDxfId="19" dataCellStyle="Normal 2"/>
    <tableColumn id="7" xr3:uid="{00000000-0010-0000-1500-000007000000}" name="Analysis" dataDxfId="0" dataCellStyle="Normal 2">
      <calculatedColumnFormula>IF(AND(E31&gt;=$C$26,F31&gt;=$C$28),C31,IF(OR(E31&gt;=$C$26,F31&gt;=$C$28),D31,"Neither"))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1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1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1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table" Target="../tables/table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table" Target="../tables/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21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showGridLines="0" workbookViewId="0">
      <selection activeCell="F1" sqref="F1"/>
    </sheetView>
  </sheetViews>
  <sheetFormatPr defaultColWidth="9" defaultRowHeight="12"/>
  <sheetData>
    <row r="1" spans="1:1" ht="18.75">
      <c r="A1" s="1" t="s">
        <v>362</v>
      </c>
    </row>
    <row r="2" spans="1:1" ht="18.75">
      <c r="A2" s="1" t="s">
        <v>363</v>
      </c>
    </row>
    <row r="3" spans="1:1" ht="18.75">
      <c r="A3" s="1" t="s">
        <v>364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5"/>
  <sheetViews>
    <sheetView showGridLines="0" zoomScale="80" workbookViewId="0"/>
  </sheetViews>
  <sheetFormatPr defaultColWidth="9.5" defaultRowHeight="12.75"/>
  <cols>
    <col min="1" max="1" width="9.5" style="2"/>
    <col min="2" max="2" width="10.83203125" style="2" bestFit="1" customWidth="1"/>
    <col min="3" max="3" width="34.5" style="2" customWidth="1"/>
    <col min="4" max="4" width="29" style="2" bestFit="1" customWidth="1"/>
    <col min="5" max="5" width="40.83203125" style="2" customWidth="1"/>
    <col min="6" max="16384" width="9.5" style="2"/>
  </cols>
  <sheetData>
    <row r="1" spans="1:5">
      <c r="A1" s="3" t="s">
        <v>362</v>
      </c>
    </row>
    <row r="2" spans="1:5">
      <c r="A2" s="3" t="s">
        <v>363</v>
      </c>
    </row>
    <row r="3" spans="1:5">
      <c r="A3" s="3" t="s">
        <v>364</v>
      </c>
    </row>
    <row r="4" spans="1:5">
      <c r="A4" s="3" t="s">
        <v>368</v>
      </c>
    </row>
    <row r="7" spans="1:5" ht="13.5" thickBot="1">
      <c r="B7" s="4" t="s">
        <v>0</v>
      </c>
      <c r="C7" s="4" t="s">
        <v>1</v>
      </c>
      <c r="D7" s="4" t="s">
        <v>2</v>
      </c>
      <c r="E7" s="4" t="s">
        <v>4</v>
      </c>
    </row>
    <row r="8" spans="1:5">
      <c r="B8" s="2">
        <v>1</v>
      </c>
      <c r="C8" s="2" t="s">
        <v>369</v>
      </c>
      <c r="D8" s="2" t="s">
        <v>5</v>
      </c>
    </row>
    <row r="9" spans="1:5">
      <c r="B9" s="2">
        <v>2</v>
      </c>
      <c r="C9" s="2" t="s">
        <v>369</v>
      </c>
      <c r="D9" s="2" t="s">
        <v>5</v>
      </c>
    </row>
    <row r="10" spans="1:5">
      <c r="B10" s="2">
        <v>3</v>
      </c>
      <c r="C10" s="2" t="s">
        <v>6</v>
      </c>
      <c r="D10" s="2" t="s">
        <v>5</v>
      </c>
    </row>
    <row r="11" spans="1:5">
      <c r="B11" s="2">
        <v>4</v>
      </c>
      <c r="C11" s="2" t="s">
        <v>370</v>
      </c>
      <c r="D11" s="2" t="s">
        <v>5</v>
      </c>
    </row>
    <row r="12" spans="1:5">
      <c r="B12" s="2">
        <v>5</v>
      </c>
      <c r="C12" s="2" t="s">
        <v>257</v>
      </c>
      <c r="D12" s="2" t="s">
        <v>5</v>
      </c>
    </row>
    <row r="13" spans="1:5">
      <c r="B13" s="2">
        <v>6</v>
      </c>
      <c r="C13" s="2" t="s">
        <v>282</v>
      </c>
      <c r="D13" s="2" t="s">
        <v>5</v>
      </c>
    </row>
    <row r="14" spans="1:5">
      <c r="B14" s="2">
        <v>7</v>
      </c>
      <c r="C14" s="2" t="s">
        <v>283</v>
      </c>
      <c r="D14" s="2" t="s">
        <v>5</v>
      </c>
    </row>
    <row r="15" spans="1:5">
      <c r="B15" s="2">
        <v>8</v>
      </c>
      <c r="C15" s="2" t="s">
        <v>371</v>
      </c>
      <c r="D15" s="2" t="s">
        <v>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/>
  </sheetPr>
  <dimension ref="A1:L115"/>
  <sheetViews>
    <sheetView showGridLines="0" topLeftCell="C84" zoomScale="80" workbookViewId="0">
      <selection activeCell="L8" sqref="L8:L114"/>
    </sheetView>
  </sheetViews>
  <sheetFormatPr defaultColWidth="9.5" defaultRowHeight="12.75"/>
  <cols>
    <col min="1" max="1" width="9.5" style="2"/>
    <col min="2" max="2" width="20" style="2" customWidth="1"/>
    <col min="3" max="3" width="24.5" style="2" customWidth="1"/>
    <col min="4" max="4" width="38.5" style="2" customWidth="1"/>
    <col min="5" max="5" width="26" style="2" bestFit="1" customWidth="1"/>
    <col min="6" max="6" width="35" style="2" bestFit="1" customWidth="1"/>
    <col min="7" max="7" width="24" style="2" bestFit="1" customWidth="1"/>
    <col min="8" max="8" width="32.5" style="2" bestFit="1" customWidth="1"/>
    <col min="9" max="9" width="17.5" style="2" customWidth="1"/>
    <col min="10" max="10" width="24.5" style="2" bestFit="1" customWidth="1"/>
    <col min="11" max="11" width="23" style="2" bestFit="1" customWidth="1"/>
    <col min="12" max="12" width="26" style="2" bestFit="1" customWidth="1"/>
    <col min="13" max="16384" width="9.5" style="2"/>
  </cols>
  <sheetData>
    <row r="1" spans="1:12">
      <c r="A1" s="3" t="str">
        <f>Introduction!A1</f>
        <v>Problem Solving with Excel</v>
      </c>
    </row>
    <row r="2" spans="1:12">
      <c r="A2" s="3" t="str">
        <f>Introduction!A2</f>
        <v>Week 3</v>
      </c>
    </row>
    <row r="3" spans="1:12">
      <c r="A3" s="3" t="str">
        <f>Introduction!A3</f>
        <v>Logical Functions</v>
      </c>
      <c r="E3" s="102" t="s">
        <v>328</v>
      </c>
      <c r="F3" s="102" t="s">
        <v>329</v>
      </c>
      <c r="G3" s="102" t="s">
        <v>330</v>
      </c>
      <c r="H3" s="102" t="s">
        <v>331</v>
      </c>
      <c r="I3" s="102" t="s">
        <v>332</v>
      </c>
      <c r="J3" s="102" t="s">
        <v>333</v>
      </c>
      <c r="K3" s="102" t="s">
        <v>334</v>
      </c>
      <c r="L3" s="102" t="s">
        <v>335</v>
      </c>
    </row>
    <row r="4" spans="1:12">
      <c r="A4" s="3" t="s">
        <v>3</v>
      </c>
    </row>
    <row r="7" spans="1:12">
      <c r="B7" s="7" t="s">
        <v>8</v>
      </c>
      <c r="C7" s="7" t="s">
        <v>9</v>
      </c>
      <c r="D7" s="7" t="s">
        <v>10</v>
      </c>
      <c r="E7" s="7" t="s">
        <v>11</v>
      </c>
      <c r="F7" s="7" t="s">
        <v>237</v>
      </c>
      <c r="G7" s="8" t="s">
        <v>12</v>
      </c>
      <c r="H7" s="8" t="s">
        <v>13</v>
      </c>
      <c r="I7" s="9" t="s">
        <v>14</v>
      </c>
      <c r="J7" s="10" t="s">
        <v>15</v>
      </c>
      <c r="K7" s="11" t="s">
        <v>16</v>
      </c>
      <c r="L7" s="11" t="s">
        <v>17</v>
      </c>
    </row>
    <row r="8" spans="1:12">
      <c r="B8" s="12">
        <v>23345</v>
      </c>
      <c r="C8" s="12" t="s">
        <v>18</v>
      </c>
      <c r="D8" s="12" t="s">
        <v>19</v>
      </c>
      <c r="E8" s="12" t="s">
        <v>20</v>
      </c>
      <c r="F8" s="12" t="s">
        <v>226</v>
      </c>
      <c r="G8" s="12" t="s">
        <v>21</v>
      </c>
      <c r="H8" s="13">
        <v>41150</v>
      </c>
      <c r="I8" s="14">
        <f t="shared" ref="I8:I71" si="0">VALUE(MONTH(H8))</f>
        <v>8</v>
      </c>
      <c r="J8" s="15">
        <v>208</v>
      </c>
      <c r="K8" s="16">
        <v>14.5</v>
      </c>
      <c r="L8" s="21">
        <f t="shared" ref="L8:L71" si="1">K8*J8</f>
        <v>3016</v>
      </c>
    </row>
    <row r="9" spans="1:12">
      <c r="B9" s="12">
        <v>23278</v>
      </c>
      <c r="C9" s="12" t="s">
        <v>22</v>
      </c>
      <c r="D9" s="12" t="s">
        <v>23</v>
      </c>
      <c r="E9" s="12" t="s">
        <v>20</v>
      </c>
      <c r="F9" s="12" t="s">
        <v>226</v>
      </c>
      <c r="G9" s="12" t="s">
        <v>24</v>
      </c>
      <c r="H9" s="13">
        <v>41145</v>
      </c>
      <c r="I9" s="14">
        <f t="shared" si="0"/>
        <v>8</v>
      </c>
      <c r="J9" s="15">
        <v>197</v>
      </c>
      <c r="K9" s="16">
        <v>14.5</v>
      </c>
      <c r="L9" s="21">
        <f t="shared" si="1"/>
        <v>2856.5</v>
      </c>
    </row>
    <row r="10" spans="1:12">
      <c r="B10" s="12">
        <v>23303</v>
      </c>
      <c r="C10" s="12" t="s">
        <v>25</v>
      </c>
      <c r="D10" s="17" t="s">
        <v>26</v>
      </c>
      <c r="E10" s="17" t="s">
        <v>20</v>
      </c>
      <c r="F10" s="17" t="s">
        <v>226</v>
      </c>
      <c r="G10" s="12" t="s">
        <v>27</v>
      </c>
      <c r="H10" s="13">
        <v>41138</v>
      </c>
      <c r="I10" s="14">
        <f t="shared" si="0"/>
        <v>8</v>
      </c>
      <c r="J10" s="15">
        <v>176</v>
      </c>
      <c r="K10" s="16">
        <v>14.5</v>
      </c>
      <c r="L10" s="21">
        <f t="shared" si="1"/>
        <v>2552</v>
      </c>
    </row>
    <row r="11" spans="1:12">
      <c r="B11" s="18">
        <v>23353</v>
      </c>
      <c r="C11" s="18" t="s">
        <v>28</v>
      </c>
      <c r="D11" s="18" t="s">
        <v>29</v>
      </c>
      <c r="E11" s="19" t="s">
        <v>20</v>
      </c>
      <c r="F11" s="19" t="s">
        <v>226</v>
      </c>
      <c r="G11" s="12" t="s">
        <v>24</v>
      </c>
      <c r="H11" s="13">
        <v>41070</v>
      </c>
      <c r="I11" s="14">
        <f t="shared" si="0"/>
        <v>6</v>
      </c>
      <c r="J11" s="15">
        <v>168</v>
      </c>
      <c r="K11" s="16">
        <v>14.5</v>
      </c>
      <c r="L11" s="21">
        <f t="shared" si="1"/>
        <v>2436</v>
      </c>
    </row>
    <row r="12" spans="1:12">
      <c r="B12" s="12">
        <v>23289</v>
      </c>
      <c r="C12" s="12" t="s">
        <v>30</v>
      </c>
      <c r="D12" s="17" t="s">
        <v>31</v>
      </c>
      <c r="E12" s="17" t="s">
        <v>20</v>
      </c>
      <c r="F12" s="17" t="s">
        <v>226</v>
      </c>
      <c r="G12" s="12" t="s">
        <v>27</v>
      </c>
      <c r="H12" s="13">
        <v>41123</v>
      </c>
      <c r="I12" s="14">
        <f t="shared" si="0"/>
        <v>8</v>
      </c>
      <c r="J12" s="15">
        <v>166</v>
      </c>
      <c r="K12" s="16">
        <v>14.5</v>
      </c>
      <c r="L12" s="21">
        <f t="shared" si="1"/>
        <v>2407</v>
      </c>
    </row>
    <row r="13" spans="1:12">
      <c r="B13" s="12">
        <v>23378</v>
      </c>
      <c r="C13" s="12" t="s">
        <v>32</v>
      </c>
      <c r="D13" s="17" t="s">
        <v>33</v>
      </c>
      <c r="E13" s="17" t="s">
        <v>20</v>
      </c>
      <c r="F13" s="17" t="s">
        <v>226</v>
      </c>
      <c r="G13" s="12" t="s">
        <v>21</v>
      </c>
      <c r="H13" s="13">
        <v>41078</v>
      </c>
      <c r="I13" s="14">
        <f t="shared" si="0"/>
        <v>6</v>
      </c>
      <c r="J13" s="15">
        <v>157</v>
      </c>
      <c r="K13" s="16">
        <v>14.5</v>
      </c>
      <c r="L13" s="21">
        <f t="shared" si="1"/>
        <v>2276.5</v>
      </c>
    </row>
    <row r="14" spans="1:12">
      <c r="B14" s="12">
        <v>23283</v>
      </c>
      <c r="C14" s="12" t="s">
        <v>34</v>
      </c>
      <c r="D14" s="17" t="s">
        <v>35</v>
      </c>
      <c r="E14" s="17" t="s">
        <v>20</v>
      </c>
      <c r="F14" s="17" t="s">
        <v>226</v>
      </c>
      <c r="G14" s="12" t="s">
        <v>21</v>
      </c>
      <c r="H14" s="13">
        <v>41084</v>
      </c>
      <c r="I14" s="14">
        <f t="shared" si="0"/>
        <v>6</v>
      </c>
      <c r="J14" s="15">
        <v>142</v>
      </c>
      <c r="K14" s="16">
        <v>14.5</v>
      </c>
      <c r="L14" s="21">
        <f t="shared" si="1"/>
        <v>2059</v>
      </c>
    </row>
    <row r="15" spans="1:12">
      <c r="B15" s="20">
        <v>23324</v>
      </c>
      <c r="C15" s="20" t="s">
        <v>36</v>
      </c>
      <c r="D15" s="20" t="s">
        <v>37</v>
      </c>
      <c r="E15" s="20" t="s">
        <v>38</v>
      </c>
      <c r="F15" s="20" t="s">
        <v>227</v>
      </c>
      <c r="G15" s="12" t="s">
        <v>27</v>
      </c>
      <c r="H15" s="13">
        <v>41134</v>
      </c>
      <c r="I15" s="14">
        <f t="shared" si="0"/>
        <v>8</v>
      </c>
      <c r="J15" s="15">
        <v>193</v>
      </c>
      <c r="K15" s="16">
        <v>9.99</v>
      </c>
      <c r="L15" s="21">
        <f t="shared" si="1"/>
        <v>1928.07</v>
      </c>
    </row>
    <row r="16" spans="1:12">
      <c r="B16" s="12">
        <v>23264</v>
      </c>
      <c r="C16" s="12" t="s">
        <v>39</v>
      </c>
      <c r="D16" s="17" t="s">
        <v>40</v>
      </c>
      <c r="E16" s="17" t="s">
        <v>41</v>
      </c>
      <c r="F16" s="17" t="s">
        <v>228</v>
      </c>
      <c r="G16" s="12" t="s">
        <v>21</v>
      </c>
      <c r="H16" s="13">
        <v>41139</v>
      </c>
      <c r="I16" s="14">
        <f t="shared" si="0"/>
        <v>8</v>
      </c>
      <c r="J16" s="15">
        <v>205</v>
      </c>
      <c r="K16" s="16">
        <v>9</v>
      </c>
      <c r="L16" s="21">
        <f t="shared" si="1"/>
        <v>1845</v>
      </c>
    </row>
    <row r="17" spans="2:12">
      <c r="B17" s="12">
        <v>23291</v>
      </c>
      <c r="C17" s="12" t="s">
        <v>42</v>
      </c>
      <c r="D17" s="17" t="s">
        <v>43</v>
      </c>
      <c r="E17" s="17" t="s">
        <v>41</v>
      </c>
      <c r="F17" s="17" t="s">
        <v>228</v>
      </c>
      <c r="G17" s="12" t="s">
        <v>27</v>
      </c>
      <c r="H17" s="13">
        <v>41139</v>
      </c>
      <c r="I17" s="14">
        <f t="shared" si="0"/>
        <v>8</v>
      </c>
      <c r="J17" s="15">
        <v>199</v>
      </c>
      <c r="K17" s="16">
        <v>9</v>
      </c>
      <c r="L17" s="21">
        <f t="shared" si="1"/>
        <v>1791</v>
      </c>
    </row>
    <row r="18" spans="2:12">
      <c r="B18" s="12">
        <v>23305</v>
      </c>
      <c r="C18" s="12" t="s">
        <v>44</v>
      </c>
      <c r="D18" s="12" t="s">
        <v>45</v>
      </c>
      <c r="E18" s="12" t="s">
        <v>41</v>
      </c>
      <c r="F18" s="12" t="s">
        <v>228</v>
      </c>
      <c r="G18" s="12" t="s">
        <v>21</v>
      </c>
      <c r="H18" s="13">
        <v>41147</v>
      </c>
      <c r="I18" s="14">
        <f t="shared" si="0"/>
        <v>8</v>
      </c>
      <c r="J18" s="15">
        <v>188</v>
      </c>
      <c r="K18" s="16">
        <v>9</v>
      </c>
      <c r="L18" s="21">
        <f t="shared" si="1"/>
        <v>1692</v>
      </c>
    </row>
    <row r="19" spans="2:12">
      <c r="B19" s="12">
        <v>23350</v>
      </c>
      <c r="C19" s="12" t="s">
        <v>46</v>
      </c>
      <c r="D19" s="12" t="s">
        <v>47</v>
      </c>
      <c r="E19" s="12" t="s">
        <v>41</v>
      </c>
      <c r="F19" s="12" t="s">
        <v>228</v>
      </c>
      <c r="G19" s="12" t="s">
        <v>21</v>
      </c>
      <c r="H19" s="13">
        <v>41085</v>
      </c>
      <c r="I19" s="14">
        <f t="shared" si="0"/>
        <v>6</v>
      </c>
      <c r="J19" s="15">
        <v>188</v>
      </c>
      <c r="K19" s="16">
        <v>9</v>
      </c>
      <c r="L19" s="21">
        <f t="shared" si="1"/>
        <v>1692</v>
      </c>
    </row>
    <row r="20" spans="2:12">
      <c r="B20" s="12">
        <v>23300</v>
      </c>
      <c r="C20" s="12" t="s">
        <v>48</v>
      </c>
      <c r="D20" s="12" t="s">
        <v>49</v>
      </c>
      <c r="E20" s="12" t="s">
        <v>38</v>
      </c>
      <c r="F20" s="12" t="s">
        <v>227</v>
      </c>
      <c r="G20" s="12" t="s">
        <v>21</v>
      </c>
      <c r="H20" s="13">
        <v>40915</v>
      </c>
      <c r="I20" s="14">
        <f t="shared" si="0"/>
        <v>1</v>
      </c>
      <c r="J20" s="15">
        <v>167</v>
      </c>
      <c r="K20" s="16">
        <v>9.99</v>
      </c>
      <c r="L20" s="21">
        <f t="shared" si="1"/>
        <v>1668.33</v>
      </c>
    </row>
    <row r="21" spans="2:12">
      <c r="B21" s="12">
        <v>23348</v>
      </c>
      <c r="C21" s="12" t="s">
        <v>50</v>
      </c>
      <c r="D21" s="12" t="s">
        <v>51</v>
      </c>
      <c r="E21" s="12" t="s">
        <v>38</v>
      </c>
      <c r="F21" s="12" t="s">
        <v>227</v>
      </c>
      <c r="G21" s="12" t="s">
        <v>27</v>
      </c>
      <c r="H21" s="13">
        <v>41146</v>
      </c>
      <c r="I21" s="14">
        <f t="shared" si="0"/>
        <v>8</v>
      </c>
      <c r="J21" s="15">
        <v>163</v>
      </c>
      <c r="K21" s="16">
        <v>9.99</v>
      </c>
      <c r="L21" s="21">
        <f t="shared" si="1"/>
        <v>1628.3700000000001</v>
      </c>
    </row>
    <row r="22" spans="2:12">
      <c r="B22" s="12">
        <v>23290</v>
      </c>
      <c r="C22" s="12" t="s">
        <v>52</v>
      </c>
      <c r="D22" s="12" t="s">
        <v>53</v>
      </c>
      <c r="E22" s="12" t="s">
        <v>41</v>
      </c>
      <c r="F22" s="12" t="s">
        <v>228</v>
      </c>
      <c r="G22" s="12" t="s">
        <v>21</v>
      </c>
      <c r="H22" s="13">
        <v>41132</v>
      </c>
      <c r="I22" s="14">
        <f t="shared" si="0"/>
        <v>8</v>
      </c>
      <c r="J22" s="15">
        <v>170</v>
      </c>
      <c r="K22" s="16">
        <v>9</v>
      </c>
      <c r="L22" s="21">
        <f t="shared" si="1"/>
        <v>1530</v>
      </c>
    </row>
    <row r="23" spans="2:12">
      <c r="B23" s="12">
        <v>23328</v>
      </c>
      <c r="C23" s="12" t="s">
        <v>54</v>
      </c>
      <c r="D23" s="12" t="s">
        <v>55</v>
      </c>
      <c r="E23" s="12" t="s">
        <v>20</v>
      </c>
      <c r="F23" s="12" t="s">
        <v>226</v>
      </c>
      <c r="G23" s="12" t="s">
        <v>27</v>
      </c>
      <c r="H23" s="13">
        <v>40923</v>
      </c>
      <c r="I23" s="14">
        <f t="shared" si="0"/>
        <v>1</v>
      </c>
      <c r="J23" s="15">
        <v>102</v>
      </c>
      <c r="K23" s="16">
        <v>14.5</v>
      </c>
      <c r="L23" s="21">
        <f t="shared" si="1"/>
        <v>1479</v>
      </c>
    </row>
    <row r="24" spans="2:12">
      <c r="B24" s="12">
        <v>23294</v>
      </c>
      <c r="C24" s="12" t="s">
        <v>56</v>
      </c>
      <c r="D24" s="12" t="s">
        <v>57</v>
      </c>
      <c r="E24" s="12" t="s">
        <v>41</v>
      </c>
      <c r="F24" s="12" t="s">
        <v>228</v>
      </c>
      <c r="G24" s="12" t="s">
        <v>27</v>
      </c>
      <c r="H24" s="13">
        <v>41082</v>
      </c>
      <c r="I24" s="14">
        <f t="shared" si="0"/>
        <v>6</v>
      </c>
      <c r="J24" s="15">
        <v>160</v>
      </c>
      <c r="K24" s="16">
        <v>9</v>
      </c>
      <c r="L24" s="21">
        <f t="shared" si="1"/>
        <v>1440</v>
      </c>
    </row>
    <row r="25" spans="2:12">
      <c r="B25" s="12">
        <v>23371</v>
      </c>
      <c r="C25" s="12" t="s">
        <v>58</v>
      </c>
      <c r="D25" s="12" t="s">
        <v>59</v>
      </c>
      <c r="E25" s="12" t="s">
        <v>60</v>
      </c>
      <c r="F25" s="12" t="s">
        <v>229</v>
      </c>
      <c r="G25" s="12" t="s">
        <v>21</v>
      </c>
      <c r="H25" s="13">
        <v>41136</v>
      </c>
      <c r="I25" s="14">
        <f t="shared" si="0"/>
        <v>8</v>
      </c>
      <c r="J25" s="15">
        <v>204</v>
      </c>
      <c r="K25" s="16">
        <v>6.99</v>
      </c>
      <c r="L25" s="21">
        <f t="shared" si="1"/>
        <v>1425.96</v>
      </c>
    </row>
    <row r="26" spans="2:12">
      <c r="B26" s="12">
        <v>23288</v>
      </c>
      <c r="C26" s="12" t="s">
        <v>61</v>
      </c>
      <c r="D26" s="12" t="s">
        <v>62</v>
      </c>
      <c r="E26" s="12" t="s">
        <v>38</v>
      </c>
      <c r="F26" s="12" t="s">
        <v>227</v>
      </c>
      <c r="G26" s="12" t="s">
        <v>24</v>
      </c>
      <c r="H26" s="13">
        <v>41074</v>
      </c>
      <c r="I26" s="14">
        <f t="shared" si="0"/>
        <v>6</v>
      </c>
      <c r="J26" s="15">
        <v>141</v>
      </c>
      <c r="K26" s="16">
        <v>9.99</v>
      </c>
      <c r="L26" s="21">
        <f t="shared" si="1"/>
        <v>1408.59</v>
      </c>
    </row>
    <row r="27" spans="2:12">
      <c r="B27" s="12">
        <v>23347</v>
      </c>
      <c r="C27" s="12" t="s">
        <v>63</v>
      </c>
      <c r="D27" s="12" t="s">
        <v>64</v>
      </c>
      <c r="E27" s="12" t="s">
        <v>41</v>
      </c>
      <c r="F27" s="12" t="s">
        <v>228</v>
      </c>
      <c r="G27" s="12" t="s">
        <v>21</v>
      </c>
      <c r="H27" s="13">
        <v>41088</v>
      </c>
      <c r="I27" s="14">
        <f t="shared" si="0"/>
        <v>6</v>
      </c>
      <c r="J27" s="15">
        <v>147</v>
      </c>
      <c r="K27" s="16">
        <v>9</v>
      </c>
      <c r="L27" s="21">
        <f t="shared" si="1"/>
        <v>1323</v>
      </c>
    </row>
    <row r="28" spans="2:12">
      <c r="B28" s="12">
        <v>23361</v>
      </c>
      <c r="C28" s="12" t="s">
        <v>65</v>
      </c>
      <c r="D28" s="12" t="s">
        <v>66</v>
      </c>
      <c r="E28" s="12" t="s">
        <v>60</v>
      </c>
      <c r="F28" s="12" t="s">
        <v>229</v>
      </c>
      <c r="G28" s="12" t="s">
        <v>21</v>
      </c>
      <c r="H28" s="13">
        <v>40915</v>
      </c>
      <c r="I28" s="14">
        <f t="shared" si="0"/>
        <v>1</v>
      </c>
      <c r="J28" s="15">
        <v>184</v>
      </c>
      <c r="K28" s="16">
        <v>6.99</v>
      </c>
      <c r="L28" s="21">
        <f t="shared" si="1"/>
        <v>1286.1600000000001</v>
      </c>
    </row>
    <row r="29" spans="2:12">
      <c r="B29" s="12">
        <v>23275</v>
      </c>
      <c r="C29" s="12" t="s">
        <v>67</v>
      </c>
      <c r="D29" s="12" t="s">
        <v>68</v>
      </c>
      <c r="E29" s="12" t="s">
        <v>41</v>
      </c>
      <c r="F29" s="12" t="s">
        <v>228</v>
      </c>
      <c r="G29" s="12" t="s">
        <v>27</v>
      </c>
      <c r="H29" s="13">
        <v>40912</v>
      </c>
      <c r="I29" s="14">
        <f t="shared" si="0"/>
        <v>1</v>
      </c>
      <c r="J29" s="15">
        <v>141</v>
      </c>
      <c r="K29" s="16">
        <v>9</v>
      </c>
      <c r="L29" s="21">
        <f t="shared" si="1"/>
        <v>1269</v>
      </c>
    </row>
    <row r="30" spans="2:12">
      <c r="B30" s="12">
        <v>23297</v>
      </c>
      <c r="C30" s="12" t="s">
        <v>69</v>
      </c>
      <c r="D30" s="12" t="s">
        <v>70</v>
      </c>
      <c r="E30" s="12" t="s">
        <v>41</v>
      </c>
      <c r="F30" s="12" t="s">
        <v>228</v>
      </c>
      <c r="G30" s="12" t="s">
        <v>21</v>
      </c>
      <c r="H30" s="13">
        <v>41133</v>
      </c>
      <c r="I30" s="14">
        <f t="shared" si="0"/>
        <v>8</v>
      </c>
      <c r="J30" s="15">
        <v>135</v>
      </c>
      <c r="K30" s="16">
        <v>9</v>
      </c>
      <c r="L30" s="21">
        <f t="shared" si="1"/>
        <v>1215</v>
      </c>
    </row>
    <row r="31" spans="2:12">
      <c r="B31" s="12">
        <v>23327</v>
      </c>
      <c r="C31" s="12" t="s">
        <v>71</v>
      </c>
      <c r="D31" s="12" t="s">
        <v>72</v>
      </c>
      <c r="E31" s="12" t="s">
        <v>73</v>
      </c>
      <c r="F31" s="12" t="s">
        <v>230</v>
      </c>
      <c r="G31" s="12" t="s">
        <v>27</v>
      </c>
      <c r="H31" s="13">
        <v>40939</v>
      </c>
      <c r="I31" s="14">
        <f t="shared" si="0"/>
        <v>1</v>
      </c>
      <c r="J31" s="15">
        <v>176</v>
      </c>
      <c r="K31" s="16">
        <v>6.5</v>
      </c>
      <c r="L31" s="21">
        <f t="shared" si="1"/>
        <v>1144</v>
      </c>
    </row>
    <row r="32" spans="2:12">
      <c r="B32" s="12">
        <v>23325</v>
      </c>
      <c r="C32" s="12" t="s">
        <v>74</v>
      </c>
      <c r="D32" s="12" t="s">
        <v>75</v>
      </c>
      <c r="E32" s="12" t="s">
        <v>76</v>
      </c>
      <c r="F32" s="12" t="s">
        <v>231</v>
      </c>
      <c r="G32" s="12" t="s">
        <v>27</v>
      </c>
      <c r="H32" s="13">
        <v>41082</v>
      </c>
      <c r="I32" s="14">
        <f t="shared" si="0"/>
        <v>6</v>
      </c>
      <c r="J32" s="15">
        <v>184</v>
      </c>
      <c r="K32" s="16">
        <v>6</v>
      </c>
      <c r="L32" s="21">
        <f t="shared" si="1"/>
        <v>1104</v>
      </c>
    </row>
    <row r="33" spans="2:12">
      <c r="B33" s="12">
        <v>23292</v>
      </c>
      <c r="C33" s="12" t="s">
        <v>77</v>
      </c>
      <c r="D33" s="12" t="s">
        <v>78</v>
      </c>
      <c r="E33" s="12" t="s">
        <v>20</v>
      </c>
      <c r="F33" s="12" t="s">
        <v>226</v>
      </c>
      <c r="G33" s="12" t="s">
        <v>21</v>
      </c>
      <c r="H33" s="13">
        <v>40911</v>
      </c>
      <c r="I33" s="14">
        <f t="shared" si="0"/>
        <v>1</v>
      </c>
      <c r="J33" s="15">
        <v>73</v>
      </c>
      <c r="K33" s="16">
        <v>14.5</v>
      </c>
      <c r="L33" s="21">
        <f t="shared" si="1"/>
        <v>1058.5</v>
      </c>
    </row>
    <row r="34" spans="2:12">
      <c r="B34" s="12">
        <v>23335</v>
      </c>
      <c r="C34" s="12" t="s">
        <v>79</v>
      </c>
      <c r="D34" s="12" t="s">
        <v>80</v>
      </c>
      <c r="E34" s="12" t="s">
        <v>41</v>
      </c>
      <c r="F34" s="12" t="s">
        <v>228</v>
      </c>
      <c r="G34" s="12" t="s">
        <v>21</v>
      </c>
      <c r="H34" s="13">
        <v>41134</v>
      </c>
      <c r="I34" s="14">
        <f t="shared" si="0"/>
        <v>8</v>
      </c>
      <c r="J34" s="15">
        <v>116</v>
      </c>
      <c r="K34" s="16">
        <v>9</v>
      </c>
      <c r="L34" s="21">
        <f t="shared" si="1"/>
        <v>1044</v>
      </c>
    </row>
    <row r="35" spans="2:12">
      <c r="B35" s="12">
        <v>23314</v>
      </c>
      <c r="C35" s="12" t="s">
        <v>81</v>
      </c>
      <c r="D35" s="12" t="s">
        <v>82</v>
      </c>
      <c r="E35" s="12" t="s">
        <v>38</v>
      </c>
      <c r="F35" s="12" t="s">
        <v>227</v>
      </c>
      <c r="G35" s="12" t="s">
        <v>27</v>
      </c>
      <c r="H35" s="13">
        <v>41131</v>
      </c>
      <c r="I35" s="14">
        <f t="shared" si="0"/>
        <v>8</v>
      </c>
      <c r="J35" s="15">
        <v>95</v>
      </c>
      <c r="K35" s="16">
        <v>9.99</v>
      </c>
      <c r="L35" s="21">
        <f t="shared" si="1"/>
        <v>949.05000000000007</v>
      </c>
    </row>
    <row r="36" spans="2:12">
      <c r="B36" s="12">
        <v>23329</v>
      </c>
      <c r="C36" s="12" t="s">
        <v>83</v>
      </c>
      <c r="D36" s="12" t="s">
        <v>84</v>
      </c>
      <c r="E36" s="12" t="s">
        <v>85</v>
      </c>
      <c r="F36" s="12" t="s">
        <v>232</v>
      </c>
      <c r="G36" s="12" t="s">
        <v>27</v>
      </c>
      <c r="H36" s="13">
        <v>40931</v>
      </c>
      <c r="I36" s="14">
        <f t="shared" si="0"/>
        <v>1</v>
      </c>
      <c r="J36" s="15">
        <v>203</v>
      </c>
      <c r="K36" s="16">
        <v>4.5</v>
      </c>
      <c r="L36" s="21">
        <f t="shared" si="1"/>
        <v>913.5</v>
      </c>
    </row>
    <row r="37" spans="2:12">
      <c r="B37" s="12">
        <v>23332</v>
      </c>
      <c r="C37" s="12" t="s">
        <v>86</v>
      </c>
      <c r="D37" s="12" t="s">
        <v>87</v>
      </c>
      <c r="E37" s="12" t="s">
        <v>85</v>
      </c>
      <c r="F37" s="12" t="s">
        <v>232</v>
      </c>
      <c r="G37" s="12" t="s">
        <v>24</v>
      </c>
      <c r="H37" s="13">
        <v>40950</v>
      </c>
      <c r="I37" s="14">
        <f t="shared" si="0"/>
        <v>2</v>
      </c>
      <c r="J37" s="15">
        <v>203</v>
      </c>
      <c r="K37" s="16">
        <v>4.5</v>
      </c>
      <c r="L37" s="21">
        <f t="shared" si="1"/>
        <v>913.5</v>
      </c>
    </row>
    <row r="38" spans="2:12">
      <c r="B38" s="12">
        <v>23317</v>
      </c>
      <c r="C38" s="12" t="s">
        <v>88</v>
      </c>
      <c r="D38" s="12" t="s">
        <v>89</v>
      </c>
      <c r="E38" s="12" t="s">
        <v>85</v>
      </c>
      <c r="F38" s="12" t="s">
        <v>232</v>
      </c>
      <c r="G38" s="12" t="s">
        <v>24</v>
      </c>
      <c r="H38" s="13">
        <v>40956</v>
      </c>
      <c r="I38" s="14">
        <f t="shared" si="0"/>
        <v>2</v>
      </c>
      <c r="J38" s="15">
        <v>196</v>
      </c>
      <c r="K38" s="16">
        <v>4.5</v>
      </c>
      <c r="L38" s="21">
        <f t="shared" si="1"/>
        <v>882</v>
      </c>
    </row>
    <row r="39" spans="2:12">
      <c r="B39" s="12">
        <v>23271</v>
      </c>
      <c r="C39" s="12" t="s">
        <v>90</v>
      </c>
      <c r="D39" s="12" t="s">
        <v>91</v>
      </c>
      <c r="E39" s="12" t="s">
        <v>60</v>
      </c>
      <c r="F39" s="12" t="s">
        <v>229</v>
      </c>
      <c r="G39" s="12" t="s">
        <v>27</v>
      </c>
      <c r="H39" s="13">
        <v>40966</v>
      </c>
      <c r="I39" s="14">
        <f t="shared" si="0"/>
        <v>2</v>
      </c>
      <c r="J39" s="15">
        <v>125</v>
      </c>
      <c r="K39" s="16">
        <v>6.99</v>
      </c>
      <c r="L39" s="21">
        <f t="shared" si="1"/>
        <v>873.75</v>
      </c>
    </row>
    <row r="40" spans="2:12">
      <c r="B40" s="12">
        <v>23287</v>
      </c>
      <c r="C40" s="12" t="s">
        <v>92</v>
      </c>
      <c r="D40" s="12" t="s">
        <v>93</v>
      </c>
      <c r="E40" s="12" t="s">
        <v>85</v>
      </c>
      <c r="F40" s="12" t="s">
        <v>232</v>
      </c>
      <c r="G40" s="12" t="s">
        <v>27</v>
      </c>
      <c r="H40" s="13">
        <v>41077</v>
      </c>
      <c r="I40" s="14">
        <f t="shared" si="0"/>
        <v>6</v>
      </c>
      <c r="J40" s="15">
        <v>189</v>
      </c>
      <c r="K40" s="16">
        <v>4.5</v>
      </c>
      <c r="L40" s="21">
        <f t="shared" si="1"/>
        <v>850.5</v>
      </c>
    </row>
    <row r="41" spans="2:12">
      <c r="B41" s="12">
        <v>23349</v>
      </c>
      <c r="C41" s="12" t="s">
        <v>94</v>
      </c>
      <c r="D41" s="12" t="s">
        <v>95</v>
      </c>
      <c r="E41" s="12" t="s">
        <v>73</v>
      </c>
      <c r="F41" s="12" t="s">
        <v>230</v>
      </c>
      <c r="G41" s="12" t="s">
        <v>27</v>
      </c>
      <c r="H41" s="13">
        <v>41112</v>
      </c>
      <c r="I41" s="14">
        <f t="shared" si="0"/>
        <v>7</v>
      </c>
      <c r="J41" s="15">
        <v>126</v>
      </c>
      <c r="K41" s="16">
        <v>6.5</v>
      </c>
      <c r="L41" s="21">
        <f t="shared" si="1"/>
        <v>819</v>
      </c>
    </row>
    <row r="42" spans="2:12">
      <c r="B42" s="12">
        <v>23309</v>
      </c>
      <c r="C42" s="12" t="s">
        <v>96</v>
      </c>
      <c r="D42" s="12" t="s">
        <v>97</v>
      </c>
      <c r="E42" s="12" t="s">
        <v>98</v>
      </c>
      <c r="F42" s="12" t="s">
        <v>233</v>
      </c>
      <c r="G42" s="12" t="s">
        <v>21</v>
      </c>
      <c r="H42" s="13">
        <v>41083</v>
      </c>
      <c r="I42" s="14">
        <f t="shared" si="0"/>
        <v>6</v>
      </c>
      <c r="J42" s="15">
        <v>201</v>
      </c>
      <c r="K42" s="16">
        <v>3.99</v>
      </c>
      <c r="L42" s="21">
        <f t="shared" si="1"/>
        <v>801.99</v>
      </c>
    </row>
    <row r="43" spans="2:12">
      <c r="B43" s="12">
        <v>23338</v>
      </c>
      <c r="C43" s="12" t="s">
        <v>99</v>
      </c>
      <c r="D43" s="12" t="s">
        <v>100</v>
      </c>
      <c r="E43" s="12" t="s">
        <v>85</v>
      </c>
      <c r="F43" s="12" t="s">
        <v>232</v>
      </c>
      <c r="G43" s="12" t="s">
        <v>27</v>
      </c>
      <c r="H43" s="13">
        <v>41133</v>
      </c>
      <c r="I43" s="14">
        <f t="shared" si="0"/>
        <v>8</v>
      </c>
      <c r="J43" s="15">
        <v>178</v>
      </c>
      <c r="K43" s="16">
        <v>4.5</v>
      </c>
      <c r="L43" s="21">
        <f t="shared" si="1"/>
        <v>801</v>
      </c>
    </row>
    <row r="44" spans="2:12">
      <c r="B44" s="12">
        <v>23301</v>
      </c>
      <c r="C44" s="12" t="s">
        <v>101</v>
      </c>
      <c r="D44" s="12" t="s">
        <v>102</v>
      </c>
      <c r="E44" s="12" t="s">
        <v>60</v>
      </c>
      <c r="F44" s="12" t="s">
        <v>229</v>
      </c>
      <c r="G44" s="12" t="s">
        <v>27</v>
      </c>
      <c r="H44" s="13">
        <v>41109</v>
      </c>
      <c r="I44" s="14">
        <f t="shared" si="0"/>
        <v>7</v>
      </c>
      <c r="J44" s="15">
        <v>108</v>
      </c>
      <c r="K44" s="16">
        <v>6.99</v>
      </c>
      <c r="L44" s="21">
        <f t="shared" si="1"/>
        <v>754.92000000000007</v>
      </c>
    </row>
    <row r="45" spans="2:12">
      <c r="B45" s="12">
        <v>23320</v>
      </c>
      <c r="C45" s="12" t="s">
        <v>103</v>
      </c>
      <c r="D45" s="12" t="s">
        <v>104</v>
      </c>
      <c r="E45" s="12" t="s">
        <v>76</v>
      </c>
      <c r="F45" s="12" t="s">
        <v>231</v>
      </c>
      <c r="G45" s="12" t="s">
        <v>24</v>
      </c>
      <c r="H45" s="13">
        <v>41075</v>
      </c>
      <c r="I45" s="14">
        <f t="shared" si="0"/>
        <v>6</v>
      </c>
      <c r="J45" s="15">
        <v>125</v>
      </c>
      <c r="K45" s="16">
        <v>6</v>
      </c>
      <c r="L45" s="21">
        <f t="shared" si="1"/>
        <v>750</v>
      </c>
    </row>
    <row r="46" spans="2:12">
      <c r="B46" s="12">
        <v>23365</v>
      </c>
      <c r="C46" s="12" t="s">
        <v>105</v>
      </c>
      <c r="D46" s="12" t="s">
        <v>106</v>
      </c>
      <c r="E46" s="12" t="s">
        <v>107</v>
      </c>
      <c r="F46" s="12" t="s">
        <v>234</v>
      </c>
      <c r="G46" s="12" t="s">
        <v>27</v>
      </c>
      <c r="H46" s="13">
        <v>41099</v>
      </c>
      <c r="I46" s="14">
        <f t="shared" si="0"/>
        <v>7</v>
      </c>
      <c r="J46" s="15">
        <v>165</v>
      </c>
      <c r="K46" s="16">
        <v>4.5</v>
      </c>
      <c r="L46" s="21">
        <f t="shared" si="1"/>
        <v>742.5</v>
      </c>
    </row>
    <row r="47" spans="2:12">
      <c r="B47" s="12">
        <v>23302</v>
      </c>
      <c r="C47" s="12" t="s">
        <v>108</v>
      </c>
      <c r="D47" s="12" t="s">
        <v>82</v>
      </c>
      <c r="E47" s="12" t="s">
        <v>109</v>
      </c>
      <c r="F47" s="12" t="s">
        <v>235</v>
      </c>
      <c r="G47" s="12" t="s">
        <v>21</v>
      </c>
      <c r="H47" s="13">
        <v>41117</v>
      </c>
      <c r="I47" s="14">
        <f t="shared" si="0"/>
        <v>7</v>
      </c>
      <c r="J47" s="15">
        <v>105</v>
      </c>
      <c r="K47" s="16">
        <v>6.5</v>
      </c>
      <c r="L47" s="21">
        <f t="shared" si="1"/>
        <v>682.5</v>
      </c>
    </row>
    <row r="48" spans="2:12">
      <c r="B48" s="12">
        <v>23266</v>
      </c>
      <c r="C48" s="12" t="s">
        <v>110</v>
      </c>
      <c r="D48" s="12" t="s">
        <v>111</v>
      </c>
      <c r="E48" s="12" t="s">
        <v>98</v>
      </c>
      <c r="F48" s="12" t="s">
        <v>233</v>
      </c>
      <c r="G48" s="12" t="s">
        <v>21</v>
      </c>
      <c r="H48" s="13">
        <v>41132</v>
      </c>
      <c r="I48" s="14">
        <f t="shared" si="0"/>
        <v>8</v>
      </c>
      <c r="J48" s="15">
        <v>170</v>
      </c>
      <c r="K48" s="16">
        <v>3.99</v>
      </c>
      <c r="L48" s="21">
        <f t="shared" si="1"/>
        <v>678.30000000000007</v>
      </c>
    </row>
    <row r="49" spans="2:12">
      <c r="B49" s="12">
        <v>23307</v>
      </c>
      <c r="C49" s="12" t="s">
        <v>112</v>
      </c>
      <c r="D49" s="12" t="s">
        <v>113</v>
      </c>
      <c r="E49" s="12" t="s">
        <v>76</v>
      </c>
      <c r="F49" s="12" t="s">
        <v>231</v>
      </c>
      <c r="G49" s="12" t="s">
        <v>27</v>
      </c>
      <c r="H49" s="13">
        <v>41094</v>
      </c>
      <c r="I49" s="14">
        <f t="shared" si="0"/>
        <v>7</v>
      </c>
      <c r="J49" s="15">
        <v>113</v>
      </c>
      <c r="K49" s="16">
        <v>6</v>
      </c>
      <c r="L49" s="21">
        <f t="shared" si="1"/>
        <v>678</v>
      </c>
    </row>
    <row r="50" spans="2:12">
      <c r="B50" s="12">
        <v>23368</v>
      </c>
      <c r="C50" s="12" t="s">
        <v>114</v>
      </c>
      <c r="D50" s="12" t="s">
        <v>115</v>
      </c>
      <c r="E50" s="12" t="s">
        <v>107</v>
      </c>
      <c r="F50" s="12" t="s">
        <v>234</v>
      </c>
      <c r="G50" s="12" t="s">
        <v>27</v>
      </c>
      <c r="H50" s="13">
        <v>41146</v>
      </c>
      <c r="I50" s="14">
        <f t="shared" si="0"/>
        <v>8</v>
      </c>
      <c r="J50" s="15">
        <v>150</v>
      </c>
      <c r="K50" s="16">
        <v>4.5</v>
      </c>
      <c r="L50" s="21">
        <f t="shared" si="1"/>
        <v>675</v>
      </c>
    </row>
    <row r="51" spans="2:12">
      <c r="B51" s="12">
        <v>23286</v>
      </c>
      <c r="C51" s="12" t="s">
        <v>116</v>
      </c>
      <c r="D51" s="12" t="s">
        <v>117</v>
      </c>
      <c r="E51" s="12" t="s">
        <v>41</v>
      </c>
      <c r="F51" s="12" t="s">
        <v>228</v>
      </c>
      <c r="G51" s="12" t="s">
        <v>21</v>
      </c>
      <c r="H51" s="13">
        <v>41129</v>
      </c>
      <c r="I51" s="14">
        <f t="shared" si="0"/>
        <v>8</v>
      </c>
      <c r="J51" s="15">
        <v>69</v>
      </c>
      <c r="K51" s="16">
        <v>9</v>
      </c>
      <c r="L51" s="21">
        <f t="shared" si="1"/>
        <v>621</v>
      </c>
    </row>
    <row r="52" spans="2:12">
      <c r="B52" s="12">
        <v>23373</v>
      </c>
      <c r="C52" s="12" t="s">
        <v>118</v>
      </c>
      <c r="D52" s="12" t="s">
        <v>119</v>
      </c>
      <c r="E52" s="12" t="s">
        <v>73</v>
      </c>
      <c r="F52" s="12" t="s">
        <v>230</v>
      </c>
      <c r="G52" s="12" t="s">
        <v>21</v>
      </c>
      <c r="H52" s="13">
        <v>41114</v>
      </c>
      <c r="I52" s="14">
        <f t="shared" si="0"/>
        <v>7</v>
      </c>
      <c r="J52" s="15">
        <v>95</v>
      </c>
      <c r="K52" s="16">
        <v>6.5</v>
      </c>
      <c r="L52" s="21">
        <f t="shared" si="1"/>
        <v>617.5</v>
      </c>
    </row>
    <row r="53" spans="2:12">
      <c r="B53" s="12">
        <v>23380</v>
      </c>
      <c r="C53" s="12" t="s">
        <v>120</v>
      </c>
      <c r="D53" s="12" t="s">
        <v>121</v>
      </c>
      <c r="E53" s="12" t="s">
        <v>109</v>
      </c>
      <c r="F53" s="12" t="s">
        <v>235</v>
      </c>
      <c r="G53" s="12" t="s">
        <v>27</v>
      </c>
      <c r="H53" s="13">
        <v>41112</v>
      </c>
      <c r="I53" s="14">
        <f t="shared" si="0"/>
        <v>7</v>
      </c>
      <c r="J53" s="15">
        <v>95</v>
      </c>
      <c r="K53" s="16">
        <v>6.5</v>
      </c>
      <c r="L53" s="21">
        <f t="shared" si="1"/>
        <v>617.5</v>
      </c>
    </row>
    <row r="54" spans="2:12">
      <c r="B54" s="12">
        <v>23284</v>
      </c>
      <c r="C54" s="12" t="s">
        <v>122</v>
      </c>
      <c r="D54" s="12" t="s">
        <v>123</v>
      </c>
      <c r="E54" s="12" t="s">
        <v>85</v>
      </c>
      <c r="F54" s="12" t="s">
        <v>232</v>
      </c>
      <c r="G54" s="12" t="s">
        <v>27</v>
      </c>
      <c r="H54" s="13">
        <v>41077</v>
      </c>
      <c r="I54" s="14">
        <f t="shared" si="0"/>
        <v>6</v>
      </c>
      <c r="J54" s="15">
        <v>135</v>
      </c>
      <c r="K54" s="16">
        <v>4.5</v>
      </c>
      <c r="L54" s="21">
        <f t="shared" si="1"/>
        <v>607.5</v>
      </c>
    </row>
    <row r="55" spans="2:12">
      <c r="B55" s="12">
        <v>23306</v>
      </c>
      <c r="C55" s="12" t="s">
        <v>124</v>
      </c>
      <c r="D55" s="12" t="s">
        <v>125</v>
      </c>
      <c r="E55" s="12" t="s">
        <v>73</v>
      </c>
      <c r="F55" s="12" t="s">
        <v>230</v>
      </c>
      <c r="G55" s="12" t="s">
        <v>21</v>
      </c>
      <c r="H55" s="13">
        <v>41068</v>
      </c>
      <c r="I55" s="14">
        <f t="shared" si="0"/>
        <v>6</v>
      </c>
      <c r="J55" s="15">
        <v>93</v>
      </c>
      <c r="K55" s="16">
        <v>6.5</v>
      </c>
      <c r="L55" s="21">
        <f t="shared" si="1"/>
        <v>604.5</v>
      </c>
    </row>
    <row r="56" spans="2:12">
      <c r="B56" s="12">
        <v>23281</v>
      </c>
      <c r="C56" s="12" t="s">
        <v>126</v>
      </c>
      <c r="D56" s="12" t="s">
        <v>127</v>
      </c>
      <c r="E56" s="12" t="s">
        <v>107</v>
      </c>
      <c r="F56" s="12" t="s">
        <v>234</v>
      </c>
      <c r="G56" s="12" t="s">
        <v>27</v>
      </c>
      <c r="H56" s="13">
        <v>41103</v>
      </c>
      <c r="I56" s="14">
        <f t="shared" si="0"/>
        <v>7</v>
      </c>
      <c r="J56" s="15">
        <v>134</v>
      </c>
      <c r="K56" s="16">
        <v>4.5</v>
      </c>
      <c r="L56" s="21">
        <f t="shared" si="1"/>
        <v>603</v>
      </c>
    </row>
    <row r="57" spans="2:12">
      <c r="B57" s="12">
        <v>23351</v>
      </c>
      <c r="C57" s="12" t="s">
        <v>128</v>
      </c>
      <c r="D57" s="12" t="s">
        <v>129</v>
      </c>
      <c r="E57" s="12" t="s">
        <v>98</v>
      </c>
      <c r="F57" s="12" t="s">
        <v>233</v>
      </c>
      <c r="G57" s="12" t="s">
        <v>21</v>
      </c>
      <c r="H57" s="13">
        <v>41124</v>
      </c>
      <c r="I57" s="14">
        <f t="shared" si="0"/>
        <v>8</v>
      </c>
      <c r="J57" s="15">
        <v>151</v>
      </c>
      <c r="K57" s="16">
        <v>3.99</v>
      </c>
      <c r="L57" s="21">
        <f t="shared" si="1"/>
        <v>602.49</v>
      </c>
    </row>
    <row r="58" spans="2:12">
      <c r="B58" s="12">
        <v>23282</v>
      </c>
      <c r="C58" s="12" t="s">
        <v>130</v>
      </c>
      <c r="D58" s="12" t="s">
        <v>131</v>
      </c>
      <c r="E58" s="12" t="s">
        <v>76</v>
      </c>
      <c r="F58" s="12" t="s">
        <v>231</v>
      </c>
      <c r="G58" s="12" t="s">
        <v>27</v>
      </c>
      <c r="H58" s="13">
        <v>41142</v>
      </c>
      <c r="I58" s="14">
        <f t="shared" si="0"/>
        <v>8</v>
      </c>
      <c r="J58" s="15">
        <v>100</v>
      </c>
      <c r="K58" s="16">
        <v>6</v>
      </c>
      <c r="L58" s="21">
        <f t="shared" si="1"/>
        <v>600</v>
      </c>
    </row>
    <row r="59" spans="2:12">
      <c r="B59" s="12">
        <v>23376</v>
      </c>
      <c r="C59" s="12" t="s">
        <v>132</v>
      </c>
      <c r="D59" s="12" t="s">
        <v>133</v>
      </c>
      <c r="E59" s="12" t="s">
        <v>60</v>
      </c>
      <c r="F59" s="12" t="s">
        <v>229</v>
      </c>
      <c r="G59" s="12" t="s">
        <v>24</v>
      </c>
      <c r="H59" s="13">
        <v>41113</v>
      </c>
      <c r="I59" s="14">
        <f t="shared" si="0"/>
        <v>7</v>
      </c>
      <c r="J59" s="15">
        <v>85</v>
      </c>
      <c r="K59" s="16">
        <v>6.99</v>
      </c>
      <c r="L59" s="21">
        <f t="shared" si="1"/>
        <v>594.15</v>
      </c>
    </row>
    <row r="60" spans="2:12">
      <c r="B60" s="12">
        <v>23354</v>
      </c>
      <c r="C60" s="12" t="s">
        <v>134</v>
      </c>
      <c r="D60" s="12" t="s">
        <v>135</v>
      </c>
      <c r="E60" s="12" t="s">
        <v>60</v>
      </c>
      <c r="F60" s="12" t="s">
        <v>229</v>
      </c>
      <c r="G60" s="12" t="s">
        <v>21</v>
      </c>
      <c r="H60" s="13">
        <v>41124</v>
      </c>
      <c r="I60" s="14">
        <f t="shared" si="0"/>
        <v>8</v>
      </c>
      <c r="J60" s="15">
        <v>84</v>
      </c>
      <c r="K60" s="16">
        <v>6.99</v>
      </c>
      <c r="L60" s="21">
        <f t="shared" si="1"/>
        <v>587.16</v>
      </c>
    </row>
    <row r="61" spans="2:12">
      <c r="B61" s="12">
        <v>23337</v>
      </c>
      <c r="C61" s="12" t="s">
        <v>136</v>
      </c>
      <c r="D61" s="12" t="s">
        <v>137</v>
      </c>
      <c r="E61" s="12" t="s">
        <v>60</v>
      </c>
      <c r="F61" s="12" t="s">
        <v>229</v>
      </c>
      <c r="G61" s="12" t="s">
        <v>27</v>
      </c>
      <c r="H61" s="13">
        <v>41097</v>
      </c>
      <c r="I61" s="14">
        <f t="shared" si="0"/>
        <v>7</v>
      </c>
      <c r="J61" s="15">
        <v>82</v>
      </c>
      <c r="K61" s="16">
        <v>6.99</v>
      </c>
      <c r="L61" s="21">
        <f t="shared" si="1"/>
        <v>573.18000000000006</v>
      </c>
    </row>
    <row r="62" spans="2:12">
      <c r="B62" s="12">
        <v>23326</v>
      </c>
      <c r="C62" s="12" t="s">
        <v>138</v>
      </c>
      <c r="D62" s="12" t="s">
        <v>139</v>
      </c>
      <c r="E62" s="12" t="s">
        <v>107</v>
      </c>
      <c r="F62" s="12" t="s">
        <v>234</v>
      </c>
      <c r="G62" s="12" t="s">
        <v>27</v>
      </c>
      <c r="H62" s="13">
        <v>41142</v>
      </c>
      <c r="I62" s="14">
        <f t="shared" si="0"/>
        <v>8</v>
      </c>
      <c r="J62" s="15">
        <v>126</v>
      </c>
      <c r="K62" s="16">
        <v>4.5</v>
      </c>
      <c r="L62" s="21">
        <f t="shared" si="1"/>
        <v>567</v>
      </c>
    </row>
    <row r="63" spans="2:12">
      <c r="B63" s="12">
        <v>23316</v>
      </c>
      <c r="C63" s="12" t="s">
        <v>140</v>
      </c>
      <c r="D63" s="12" t="s">
        <v>141</v>
      </c>
      <c r="E63" s="12" t="s">
        <v>98</v>
      </c>
      <c r="F63" s="12" t="s">
        <v>233</v>
      </c>
      <c r="G63" s="12" t="s">
        <v>27</v>
      </c>
      <c r="H63" s="13">
        <v>41061</v>
      </c>
      <c r="I63" s="14">
        <f t="shared" si="0"/>
        <v>6</v>
      </c>
      <c r="J63" s="15">
        <v>137</v>
      </c>
      <c r="K63" s="16">
        <v>3.99</v>
      </c>
      <c r="L63" s="21">
        <f t="shared" si="1"/>
        <v>546.63</v>
      </c>
    </row>
    <row r="64" spans="2:12">
      <c r="B64" s="12">
        <v>23362</v>
      </c>
      <c r="C64" s="12" t="s">
        <v>142</v>
      </c>
      <c r="D64" s="12" t="s">
        <v>143</v>
      </c>
      <c r="E64" s="12" t="s">
        <v>144</v>
      </c>
      <c r="F64" s="12" t="s">
        <v>236</v>
      </c>
      <c r="G64" s="12" t="s">
        <v>21</v>
      </c>
      <c r="H64" s="13">
        <v>41139</v>
      </c>
      <c r="I64" s="14">
        <f t="shared" si="0"/>
        <v>8</v>
      </c>
      <c r="J64" s="15">
        <v>179</v>
      </c>
      <c r="K64" s="16">
        <v>3</v>
      </c>
      <c r="L64" s="21">
        <f t="shared" si="1"/>
        <v>537</v>
      </c>
    </row>
    <row r="65" spans="2:12">
      <c r="B65" s="12">
        <v>23296</v>
      </c>
      <c r="C65" s="12" t="s">
        <v>145</v>
      </c>
      <c r="D65" s="12" t="s">
        <v>146</v>
      </c>
      <c r="E65" s="12" t="s">
        <v>20</v>
      </c>
      <c r="F65" s="12" t="s">
        <v>226</v>
      </c>
      <c r="G65" s="12" t="s">
        <v>27</v>
      </c>
      <c r="H65" s="13">
        <v>41068</v>
      </c>
      <c r="I65" s="14">
        <f t="shared" si="0"/>
        <v>6</v>
      </c>
      <c r="J65" s="15">
        <v>37</v>
      </c>
      <c r="K65" s="16">
        <v>14.5</v>
      </c>
      <c r="L65" s="21">
        <f t="shared" si="1"/>
        <v>536.5</v>
      </c>
    </row>
    <row r="66" spans="2:12">
      <c r="B66" s="12">
        <v>23352</v>
      </c>
      <c r="C66" s="12" t="s">
        <v>147</v>
      </c>
      <c r="D66" s="12" t="s">
        <v>148</v>
      </c>
      <c r="E66" s="12" t="s">
        <v>76</v>
      </c>
      <c r="F66" s="12" t="s">
        <v>231</v>
      </c>
      <c r="G66" s="12" t="s">
        <v>21</v>
      </c>
      <c r="H66" s="13">
        <v>41097</v>
      </c>
      <c r="I66" s="14">
        <f t="shared" si="0"/>
        <v>7</v>
      </c>
      <c r="J66" s="15">
        <v>89</v>
      </c>
      <c r="K66" s="16">
        <v>6</v>
      </c>
      <c r="L66" s="21">
        <f t="shared" si="1"/>
        <v>534</v>
      </c>
    </row>
    <row r="67" spans="2:12">
      <c r="B67" s="12">
        <v>23304</v>
      </c>
      <c r="C67" s="12" t="s">
        <v>149</v>
      </c>
      <c r="D67" s="12" t="s">
        <v>150</v>
      </c>
      <c r="E67" s="12" t="s">
        <v>98</v>
      </c>
      <c r="F67" s="12" t="s">
        <v>233</v>
      </c>
      <c r="G67" s="12" t="s">
        <v>27</v>
      </c>
      <c r="H67" s="13">
        <v>41061</v>
      </c>
      <c r="I67" s="14">
        <f t="shared" si="0"/>
        <v>6</v>
      </c>
      <c r="J67" s="15">
        <v>131</v>
      </c>
      <c r="K67" s="16">
        <v>3.99</v>
      </c>
      <c r="L67" s="21">
        <f t="shared" si="1"/>
        <v>522.69000000000005</v>
      </c>
    </row>
    <row r="68" spans="2:12">
      <c r="B68" s="12">
        <v>23369</v>
      </c>
      <c r="C68" s="12" t="s">
        <v>151</v>
      </c>
      <c r="D68" s="12" t="s">
        <v>152</v>
      </c>
      <c r="E68" s="12" t="s">
        <v>109</v>
      </c>
      <c r="F68" s="12" t="s">
        <v>235</v>
      </c>
      <c r="G68" s="12" t="s">
        <v>27</v>
      </c>
      <c r="H68" s="13">
        <v>41092</v>
      </c>
      <c r="I68" s="14">
        <f t="shared" si="0"/>
        <v>7</v>
      </c>
      <c r="J68" s="15">
        <v>77</v>
      </c>
      <c r="K68" s="16">
        <v>6.5</v>
      </c>
      <c r="L68" s="21">
        <f t="shared" si="1"/>
        <v>500.5</v>
      </c>
    </row>
    <row r="69" spans="2:12">
      <c r="B69" s="12">
        <v>23268</v>
      </c>
      <c r="C69" s="12" t="s">
        <v>153</v>
      </c>
      <c r="D69" s="12" t="s">
        <v>154</v>
      </c>
      <c r="E69" s="12" t="s">
        <v>76</v>
      </c>
      <c r="F69" s="12" t="s">
        <v>231</v>
      </c>
      <c r="G69" s="12" t="s">
        <v>21</v>
      </c>
      <c r="H69" s="13">
        <v>41102</v>
      </c>
      <c r="I69" s="14">
        <f t="shared" si="0"/>
        <v>7</v>
      </c>
      <c r="J69" s="15">
        <v>82</v>
      </c>
      <c r="K69" s="16">
        <v>6</v>
      </c>
      <c r="L69" s="21">
        <f t="shared" si="1"/>
        <v>492</v>
      </c>
    </row>
    <row r="70" spans="2:12">
      <c r="B70" s="12">
        <v>23315</v>
      </c>
      <c r="C70" s="12" t="s">
        <v>155</v>
      </c>
      <c r="D70" s="12" t="s">
        <v>37</v>
      </c>
      <c r="E70" s="12" t="s">
        <v>85</v>
      </c>
      <c r="F70" s="12" t="s">
        <v>232</v>
      </c>
      <c r="G70" s="12" t="s">
        <v>27</v>
      </c>
      <c r="H70" s="13">
        <v>41102</v>
      </c>
      <c r="I70" s="14">
        <f t="shared" si="0"/>
        <v>7</v>
      </c>
      <c r="J70" s="15">
        <v>109</v>
      </c>
      <c r="K70" s="16">
        <v>4.5</v>
      </c>
      <c r="L70" s="21">
        <f t="shared" si="1"/>
        <v>490.5</v>
      </c>
    </row>
    <row r="71" spans="2:12">
      <c r="B71" s="12">
        <v>23342</v>
      </c>
      <c r="C71" s="12" t="s">
        <v>156</v>
      </c>
      <c r="D71" s="12" t="s">
        <v>157</v>
      </c>
      <c r="E71" s="12" t="s">
        <v>98</v>
      </c>
      <c r="F71" s="12" t="s">
        <v>233</v>
      </c>
      <c r="G71" s="12" t="s">
        <v>21</v>
      </c>
      <c r="H71" s="13">
        <v>41088</v>
      </c>
      <c r="I71" s="14">
        <f t="shared" si="0"/>
        <v>6</v>
      </c>
      <c r="J71" s="15">
        <v>122</v>
      </c>
      <c r="K71" s="16">
        <v>3.99</v>
      </c>
      <c r="L71" s="21">
        <f t="shared" si="1"/>
        <v>486.78000000000003</v>
      </c>
    </row>
    <row r="72" spans="2:12">
      <c r="B72" s="12">
        <v>23333</v>
      </c>
      <c r="C72" s="12" t="s">
        <v>158</v>
      </c>
      <c r="D72" s="12" t="s">
        <v>89</v>
      </c>
      <c r="E72" s="12" t="s">
        <v>85</v>
      </c>
      <c r="F72" s="12" t="s">
        <v>232</v>
      </c>
      <c r="G72" s="12" t="s">
        <v>21</v>
      </c>
      <c r="H72" s="13">
        <v>41126</v>
      </c>
      <c r="I72" s="14">
        <f t="shared" ref="I72:I114" si="2">VALUE(MONTH(H72))</f>
        <v>8</v>
      </c>
      <c r="J72" s="15">
        <v>106</v>
      </c>
      <c r="K72" s="16">
        <v>4.5</v>
      </c>
      <c r="L72" s="21">
        <f t="shared" ref="L72:L114" si="3">K72*J72</f>
        <v>477</v>
      </c>
    </row>
    <row r="73" spans="2:12">
      <c r="B73" s="12">
        <v>23263</v>
      </c>
      <c r="C73" s="12" t="s">
        <v>159</v>
      </c>
      <c r="D73" s="12" t="s">
        <v>82</v>
      </c>
      <c r="E73" s="12" t="s">
        <v>73</v>
      </c>
      <c r="F73" s="12" t="s">
        <v>230</v>
      </c>
      <c r="G73" s="12" t="s">
        <v>21</v>
      </c>
      <c r="H73" s="13">
        <v>41096</v>
      </c>
      <c r="I73" s="14">
        <f t="shared" si="2"/>
        <v>7</v>
      </c>
      <c r="J73" s="15">
        <v>73</v>
      </c>
      <c r="K73" s="16">
        <v>6.5</v>
      </c>
      <c r="L73" s="21">
        <f t="shared" si="3"/>
        <v>474.5</v>
      </c>
    </row>
    <row r="74" spans="2:12">
      <c r="B74" s="12">
        <v>23270</v>
      </c>
      <c r="C74" s="12" t="s">
        <v>160</v>
      </c>
      <c r="D74" s="12" t="s">
        <v>161</v>
      </c>
      <c r="E74" s="12" t="s">
        <v>60</v>
      </c>
      <c r="F74" s="12" t="s">
        <v>229</v>
      </c>
      <c r="G74" s="12" t="s">
        <v>27</v>
      </c>
      <c r="H74" s="13">
        <v>41067</v>
      </c>
      <c r="I74" s="14">
        <f t="shared" si="2"/>
        <v>6</v>
      </c>
      <c r="J74" s="15">
        <v>67</v>
      </c>
      <c r="K74" s="16">
        <v>6.99</v>
      </c>
      <c r="L74" s="21">
        <f t="shared" si="3"/>
        <v>468.33000000000004</v>
      </c>
    </row>
    <row r="75" spans="2:12">
      <c r="B75" s="12">
        <v>23272</v>
      </c>
      <c r="C75" s="12" t="s">
        <v>162</v>
      </c>
      <c r="D75" s="12" t="s">
        <v>163</v>
      </c>
      <c r="E75" s="12" t="s">
        <v>73</v>
      </c>
      <c r="F75" s="12" t="s">
        <v>230</v>
      </c>
      <c r="G75" s="12" t="s">
        <v>24</v>
      </c>
      <c r="H75" s="13">
        <v>41121</v>
      </c>
      <c r="I75" s="14">
        <f t="shared" si="2"/>
        <v>7</v>
      </c>
      <c r="J75" s="15">
        <v>71</v>
      </c>
      <c r="K75" s="16">
        <v>6.5</v>
      </c>
      <c r="L75" s="21">
        <f t="shared" si="3"/>
        <v>461.5</v>
      </c>
    </row>
    <row r="76" spans="2:12">
      <c r="B76" s="12">
        <v>23274</v>
      </c>
      <c r="C76" s="12" t="s">
        <v>164</v>
      </c>
      <c r="D76" s="12" t="s">
        <v>165</v>
      </c>
      <c r="E76" s="12" t="s">
        <v>144</v>
      </c>
      <c r="F76" s="12" t="s">
        <v>236</v>
      </c>
      <c r="G76" s="12" t="s">
        <v>27</v>
      </c>
      <c r="H76" s="13">
        <v>41143</v>
      </c>
      <c r="I76" s="14">
        <f t="shared" si="2"/>
        <v>8</v>
      </c>
      <c r="J76" s="15">
        <v>153</v>
      </c>
      <c r="K76" s="16">
        <v>3</v>
      </c>
      <c r="L76" s="21">
        <f t="shared" si="3"/>
        <v>459</v>
      </c>
    </row>
    <row r="77" spans="2:12">
      <c r="B77" s="12">
        <v>23364</v>
      </c>
      <c r="C77" s="12" t="s">
        <v>166</v>
      </c>
      <c r="D77" s="12" t="s">
        <v>167</v>
      </c>
      <c r="E77" s="12" t="s">
        <v>41</v>
      </c>
      <c r="F77" s="12" t="s">
        <v>228</v>
      </c>
      <c r="G77" s="12" t="s">
        <v>21</v>
      </c>
      <c r="H77" s="13">
        <v>41093</v>
      </c>
      <c r="I77" s="14">
        <f t="shared" si="2"/>
        <v>7</v>
      </c>
      <c r="J77" s="15">
        <v>47</v>
      </c>
      <c r="K77" s="16">
        <v>9</v>
      </c>
      <c r="L77" s="21">
        <f t="shared" si="3"/>
        <v>423</v>
      </c>
    </row>
    <row r="78" spans="2:12">
      <c r="B78" s="12">
        <v>23276</v>
      </c>
      <c r="C78" s="12" t="s">
        <v>168</v>
      </c>
      <c r="D78" s="12" t="s">
        <v>169</v>
      </c>
      <c r="E78" s="12" t="s">
        <v>109</v>
      </c>
      <c r="F78" s="12" t="s">
        <v>235</v>
      </c>
      <c r="G78" s="12" t="s">
        <v>21</v>
      </c>
      <c r="H78" s="13">
        <v>41122</v>
      </c>
      <c r="I78" s="14">
        <f t="shared" si="2"/>
        <v>8</v>
      </c>
      <c r="J78" s="15">
        <v>65</v>
      </c>
      <c r="K78" s="16">
        <v>6.5</v>
      </c>
      <c r="L78" s="21">
        <f t="shared" si="3"/>
        <v>422.5</v>
      </c>
    </row>
    <row r="79" spans="2:12">
      <c r="B79" s="12">
        <v>23343</v>
      </c>
      <c r="C79" s="12" t="s">
        <v>170</v>
      </c>
      <c r="D79" s="12" t="s">
        <v>119</v>
      </c>
      <c r="E79" s="12" t="s">
        <v>38</v>
      </c>
      <c r="F79" s="12" t="s">
        <v>227</v>
      </c>
      <c r="G79" s="12" t="s">
        <v>21</v>
      </c>
      <c r="H79" s="13">
        <v>41144</v>
      </c>
      <c r="I79" s="14">
        <f t="shared" si="2"/>
        <v>8</v>
      </c>
      <c r="J79" s="15">
        <v>42</v>
      </c>
      <c r="K79" s="16">
        <v>9.99</v>
      </c>
      <c r="L79" s="21">
        <f t="shared" si="3"/>
        <v>419.58</v>
      </c>
    </row>
    <row r="80" spans="2:12">
      <c r="B80" s="12">
        <v>23344</v>
      </c>
      <c r="C80" s="12" t="s">
        <v>171</v>
      </c>
      <c r="D80" s="12" t="s">
        <v>172</v>
      </c>
      <c r="E80" s="12" t="s">
        <v>73</v>
      </c>
      <c r="F80" s="12" t="s">
        <v>230</v>
      </c>
      <c r="G80" s="12" t="s">
        <v>21</v>
      </c>
      <c r="H80" s="13">
        <v>41265</v>
      </c>
      <c r="I80" s="14">
        <f t="shared" si="2"/>
        <v>12</v>
      </c>
      <c r="J80" s="15">
        <v>64</v>
      </c>
      <c r="K80" s="16">
        <v>6.5</v>
      </c>
      <c r="L80" s="21">
        <f t="shared" si="3"/>
        <v>416</v>
      </c>
    </row>
    <row r="81" spans="2:12">
      <c r="B81" s="12">
        <v>23299</v>
      </c>
      <c r="C81" s="12" t="s">
        <v>173</v>
      </c>
      <c r="D81" s="12" t="s">
        <v>133</v>
      </c>
      <c r="E81" s="12" t="s">
        <v>98</v>
      </c>
      <c r="F81" s="12" t="s">
        <v>233</v>
      </c>
      <c r="G81" s="12" t="s">
        <v>27</v>
      </c>
      <c r="H81" s="13">
        <v>41087</v>
      </c>
      <c r="I81" s="14">
        <f t="shared" si="2"/>
        <v>6</v>
      </c>
      <c r="J81" s="15">
        <v>104</v>
      </c>
      <c r="K81" s="16">
        <v>3.99</v>
      </c>
      <c r="L81" s="21">
        <f t="shared" si="3"/>
        <v>414.96000000000004</v>
      </c>
    </row>
    <row r="82" spans="2:12">
      <c r="B82" s="12">
        <v>23310</v>
      </c>
      <c r="C82" s="12" t="s">
        <v>174</v>
      </c>
      <c r="D82" s="12" t="s">
        <v>29</v>
      </c>
      <c r="E82" s="12" t="s">
        <v>38</v>
      </c>
      <c r="F82" s="12" t="s">
        <v>227</v>
      </c>
      <c r="G82" s="12" t="s">
        <v>21</v>
      </c>
      <c r="H82" s="13">
        <v>41077</v>
      </c>
      <c r="I82" s="14">
        <f t="shared" si="2"/>
        <v>6</v>
      </c>
      <c r="J82" s="15">
        <v>41</v>
      </c>
      <c r="K82" s="16">
        <v>9.99</v>
      </c>
      <c r="L82" s="21">
        <f t="shared" si="3"/>
        <v>409.59000000000003</v>
      </c>
    </row>
    <row r="83" spans="2:12">
      <c r="B83" s="12">
        <v>23358</v>
      </c>
      <c r="C83" s="12" t="s">
        <v>175</v>
      </c>
      <c r="D83" s="12" t="s">
        <v>176</v>
      </c>
      <c r="E83" s="12" t="s">
        <v>38</v>
      </c>
      <c r="F83" s="12" t="s">
        <v>227</v>
      </c>
      <c r="G83" s="12" t="s">
        <v>27</v>
      </c>
      <c r="H83" s="13">
        <v>41071</v>
      </c>
      <c r="I83" s="14">
        <f t="shared" si="2"/>
        <v>6</v>
      </c>
      <c r="J83" s="15">
        <v>41</v>
      </c>
      <c r="K83" s="16">
        <v>9.99</v>
      </c>
      <c r="L83" s="21">
        <f t="shared" si="3"/>
        <v>409.59000000000003</v>
      </c>
    </row>
    <row r="84" spans="2:12">
      <c r="B84" s="12">
        <v>23323</v>
      </c>
      <c r="C84" s="12" t="s">
        <v>177</v>
      </c>
      <c r="D84" s="12" t="s">
        <v>178</v>
      </c>
      <c r="E84" s="12" t="s">
        <v>144</v>
      </c>
      <c r="F84" s="12" t="s">
        <v>236</v>
      </c>
      <c r="G84" s="12" t="s">
        <v>21</v>
      </c>
      <c r="H84" s="13">
        <v>41272</v>
      </c>
      <c r="I84" s="14">
        <f t="shared" si="2"/>
        <v>12</v>
      </c>
      <c r="J84" s="15">
        <v>135</v>
      </c>
      <c r="K84" s="16">
        <v>3</v>
      </c>
      <c r="L84" s="21">
        <f t="shared" si="3"/>
        <v>405</v>
      </c>
    </row>
    <row r="85" spans="2:12">
      <c r="B85" s="12">
        <v>23267</v>
      </c>
      <c r="C85" s="12" t="s">
        <v>179</v>
      </c>
      <c r="D85" s="12" t="s">
        <v>180</v>
      </c>
      <c r="E85" s="12" t="s">
        <v>144</v>
      </c>
      <c r="F85" s="12" t="s">
        <v>236</v>
      </c>
      <c r="G85" s="12" t="s">
        <v>21</v>
      </c>
      <c r="H85" s="13">
        <v>41101</v>
      </c>
      <c r="I85" s="14">
        <f t="shared" si="2"/>
        <v>7</v>
      </c>
      <c r="J85" s="15">
        <v>129</v>
      </c>
      <c r="K85" s="16">
        <v>3</v>
      </c>
      <c r="L85" s="21">
        <f t="shared" si="3"/>
        <v>387</v>
      </c>
    </row>
    <row r="86" spans="2:12">
      <c r="B86" s="12">
        <v>23340</v>
      </c>
      <c r="C86" s="12" t="s">
        <v>181</v>
      </c>
      <c r="D86" s="12" t="s">
        <v>182</v>
      </c>
      <c r="E86" s="12" t="s">
        <v>107</v>
      </c>
      <c r="F86" s="12" t="s">
        <v>234</v>
      </c>
      <c r="G86" s="12" t="s">
        <v>21</v>
      </c>
      <c r="H86" s="13">
        <v>41095</v>
      </c>
      <c r="I86" s="14">
        <f t="shared" si="2"/>
        <v>7</v>
      </c>
      <c r="J86" s="15">
        <v>85</v>
      </c>
      <c r="K86" s="16">
        <v>4.5</v>
      </c>
      <c r="L86" s="21">
        <f t="shared" si="3"/>
        <v>382.5</v>
      </c>
    </row>
    <row r="87" spans="2:12">
      <c r="B87" s="12">
        <v>23269</v>
      </c>
      <c r="C87" s="12" t="s">
        <v>183</v>
      </c>
      <c r="D87" s="12" t="s">
        <v>165</v>
      </c>
      <c r="E87" s="12" t="s">
        <v>144</v>
      </c>
      <c r="F87" s="12" t="s">
        <v>236</v>
      </c>
      <c r="G87" s="12" t="s">
        <v>21</v>
      </c>
      <c r="H87" s="13">
        <v>41063</v>
      </c>
      <c r="I87" s="14">
        <f t="shared" si="2"/>
        <v>6</v>
      </c>
      <c r="J87" s="15">
        <v>116</v>
      </c>
      <c r="K87" s="16">
        <v>3</v>
      </c>
      <c r="L87" s="21">
        <f t="shared" si="3"/>
        <v>348</v>
      </c>
    </row>
    <row r="88" spans="2:12">
      <c r="B88" s="12">
        <v>23308</v>
      </c>
      <c r="C88" s="12" t="s">
        <v>184</v>
      </c>
      <c r="D88" s="12" t="s">
        <v>185</v>
      </c>
      <c r="E88" s="12" t="s">
        <v>144</v>
      </c>
      <c r="F88" s="12" t="s">
        <v>236</v>
      </c>
      <c r="G88" s="12" t="s">
        <v>27</v>
      </c>
      <c r="H88" s="13">
        <v>41099</v>
      </c>
      <c r="I88" s="14">
        <f t="shared" si="2"/>
        <v>7</v>
      </c>
      <c r="J88" s="15">
        <v>112</v>
      </c>
      <c r="K88" s="16">
        <v>3</v>
      </c>
      <c r="L88" s="21">
        <f t="shared" si="3"/>
        <v>336</v>
      </c>
    </row>
    <row r="89" spans="2:12">
      <c r="B89" s="12">
        <v>23356</v>
      </c>
      <c r="C89" s="12" t="s">
        <v>186</v>
      </c>
      <c r="D89" s="12" t="s">
        <v>187</v>
      </c>
      <c r="E89" s="12" t="s">
        <v>98</v>
      </c>
      <c r="F89" s="12" t="s">
        <v>233</v>
      </c>
      <c r="G89" s="12" t="s">
        <v>21</v>
      </c>
      <c r="H89" s="13">
        <v>41081</v>
      </c>
      <c r="I89" s="14">
        <f t="shared" si="2"/>
        <v>6</v>
      </c>
      <c r="J89" s="15">
        <v>80</v>
      </c>
      <c r="K89" s="16">
        <v>3.99</v>
      </c>
      <c r="L89" s="21">
        <f t="shared" si="3"/>
        <v>319.20000000000005</v>
      </c>
    </row>
    <row r="90" spans="2:12">
      <c r="B90" s="12">
        <v>23318</v>
      </c>
      <c r="C90" s="12" t="s">
        <v>188</v>
      </c>
      <c r="D90" s="12" t="s">
        <v>189</v>
      </c>
      <c r="E90" s="12" t="s">
        <v>73</v>
      </c>
      <c r="F90" s="12" t="s">
        <v>230</v>
      </c>
      <c r="G90" s="12" t="s">
        <v>21</v>
      </c>
      <c r="H90" s="13">
        <v>41099</v>
      </c>
      <c r="I90" s="14">
        <f t="shared" si="2"/>
        <v>7</v>
      </c>
      <c r="J90" s="15">
        <v>48</v>
      </c>
      <c r="K90" s="16">
        <v>6.5</v>
      </c>
      <c r="L90" s="21">
        <f t="shared" si="3"/>
        <v>312</v>
      </c>
    </row>
    <row r="91" spans="2:12">
      <c r="B91" s="12">
        <v>23357</v>
      </c>
      <c r="C91" s="12" t="s">
        <v>190</v>
      </c>
      <c r="D91" s="12" t="s">
        <v>146</v>
      </c>
      <c r="E91" s="12" t="s">
        <v>76</v>
      </c>
      <c r="F91" s="12" t="s">
        <v>231</v>
      </c>
      <c r="G91" s="12" t="s">
        <v>27</v>
      </c>
      <c r="H91" s="13">
        <v>41107</v>
      </c>
      <c r="I91" s="14">
        <f t="shared" si="2"/>
        <v>7</v>
      </c>
      <c r="J91" s="15">
        <v>50</v>
      </c>
      <c r="K91" s="16">
        <v>6</v>
      </c>
      <c r="L91" s="21">
        <f t="shared" si="3"/>
        <v>300</v>
      </c>
    </row>
    <row r="92" spans="2:12">
      <c r="B92" s="12">
        <v>23377</v>
      </c>
      <c r="C92" s="12" t="s">
        <v>191</v>
      </c>
      <c r="D92" s="12" t="s">
        <v>135</v>
      </c>
      <c r="E92" s="12" t="s">
        <v>109</v>
      </c>
      <c r="F92" s="12" t="s">
        <v>235</v>
      </c>
      <c r="G92" s="12" t="s">
        <v>21</v>
      </c>
      <c r="H92" s="13">
        <v>41075</v>
      </c>
      <c r="I92" s="14">
        <f t="shared" si="2"/>
        <v>6</v>
      </c>
      <c r="J92" s="15">
        <v>43</v>
      </c>
      <c r="K92" s="16">
        <v>6.5</v>
      </c>
      <c r="L92" s="21">
        <f t="shared" si="3"/>
        <v>279.5</v>
      </c>
    </row>
    <row r="93" spans="2:12">
      <c r="B93" s="12">
        <v>23311</v>
      </c>
      <c r="C93" s="12" t="s">
        <v>192</v>
      </c>
      <c r="D93" s="12" t="s">
        <v>193</v>
      </c>
      <c r="E93" s="12" t="s">
        <v>20</v>
      </c>
      <c r="F93" s="12" t="s">
        <v>226</v>
      </c>
      <c r="G93" s="12" t="s">
        <v>27</v>
      </c>
      <c r="H93" s="13">
        <v>41072</v>
      </c>
      <c r="I93" s="14">
        <f t="shared" si="2"/>
        <v>6</v>
      </c>
      <c r="J93" s="15">
        <v>18</v>
      </c>
      <c r="K93" s="16">
        <v>14.5</v>
      </c>
      <c r="L93" s="21">
        <f t="shared" si="3"/>
        <v>261</v>
      </c>
    </row>
    <row r="94" spans="2:12">
      <c r="B94" s="12">
        <v>23379</v>
      </c>
      <c r="C94" s="12" t="s">
        <v>194</v>
      </c>
      <c r="D94" s="12" t="s">
        <v>195</v>
      </c>
      <c r="E94" s="12" t="s">
        <v>98</v>
      </c>
      <c r="F94" s="12" t="s">
        <v>233</v>
      </c>
      <c r="G94" s="12" t="s">
        <v>21</v>
      </c>
      <c r="H94" s="13">
        <v>41270</v>
      </c>
      <c r="I94" s="14">
        <f t="shared" si="2"/>
        <v>12</v>
      </c>
      <c r="J94" s="15">
        <v>65</v>
      </c>
      <c r="K94" s="16">
        <v>3.99</v>
      </c>
      <c r="L94" s="21">
        <f t="shared" si="3"/>
        <v>259.35000000000002</v>
      </c>
    </row>
    <row r="95" spans="2:12">
      <c r="B95" s="12">
        <v>23360</v>
      </c>
      <c r="C95" s="12" t="s">
        <v>196</v>
      </c>
      <c r="D95" s="12" t="s">
        <v>180</v>
      </c>
      <c r="E95" s="12" t="s">
        <v>60</v>
      </c>
      <c r="F95" s="12" t="s">
        <v>229</v>
      </c>
      <c r="G95" s="12" t="s">
        <v>21</v>
      </c>
      <c r="H95" s="13">
        <v>41073</v>
      </c>
      <c r="I95" s="14">
        <f t="shared" si="2"/>
        <v>6</v>
      </c>
      <c r="J95" s="15">
        <v>37</v>
      </c>
      <c r="K95" s="16">
        <v>6.99</v>
      </c>
      <c r="L95" s="21">
        <f t="shared" si="3"/>
        <v>258.63</v>
      </c>
    </row>
    <row r="96" spans="2:12">
      <c r="B96" s="12">
        <v>23339</v>
      </c>
      <c r="C96" s="12" t="s">
        <v>197</v>
      </c>
      <c r="D96" s="12" t="s">
        <v>198</v>
      </c>
      <c r="E96" s="12" t="s">
        <v>76</v>
      </c>
      <c r="F96" s="12" t="s">
        <v>231</v>
      </c>
      <c r="G96" s="12" t="s">
        <v>21</v>
      </c>
      <c r="H96" s="13">
        <v>41101</v>
      </c>
      <c r="I96" s="14">
        <f t="shared" si="2"/>
        <v>7</v>
      </c>
      <c r="J96" s="15">
        <v>41</v>
      </c>
      <c r="K96" s="16">
        <v>6</v>
      </c>
      <c r="L96" s="21">
        <f t="shared" si="3"/>
        <v>246</v>
      </c>
    </row>
    <row r="97" spans="2:12">
      <c r="B97" s="12">
        <v>23341</v>
      </c>
      <c r="C97" s="12" t="s">
        <v>199</v>
      </c>
      <c r="D97" s="12" t="s">
        <v>200</v>
      </c>
      <c r="E97" s="12" t="s">
        <v>144</v>
      </c>
      <c r="F97" s="12" t="s">
        <v>236</v>
      </c>
      <c r="G97" s="12" t="s">
        <v>27</v>
      </c>
      <c r="H97" s="13">
        <v>41026</v>
      </c>
      <c r="I97" s="14">
        <f t="shared" si="2"/>
        <v>4</v>
      </c>
      <c r="J97" s="15">
        <v>77</v>
      </c>
      <c r="K97" s="16">
        <v>3</v>
      </c>
      <c r="L97" s="21">
        <f t="shared" si="3"/>
        <v>231</v>
      </c>
    </row>
    <row r="98" spans="2:12">
      <c r="B98" s="12">
        <v>23374</v>
      </c>
      <c r="C98" s="12" t="s">
        <v>201</v>
      </c>
      <c r="D98" s="12" t="s">
        <v>202</v>
      </c>
      <c r="E98" s="12" t="s">
        <v>98</v>
      </c>
      <c r="F98" s="12" t="s">
        <v>233</v>
      </c>
      <c r="G98" s="12" t="s">
        <v>21</v>
      </c>
      <c r="H98" s="13">
        <v>41257</v>
      </c>
      <c r="I98" s="14">
        <f t="shared" si="2"/>
        <v>12</v>
      </c>
      <c r="J98" s="15">
        <v>57</v>
      </c>
      <c r="K98" s="16">
        <v>3.99</v>
      </c>
      <c r="L98" s="21">
        <f t="shared" si="3"/>
        <v>227.43</v>
      </c>
    </row>
    <row r="99" spans="2:12">
      <c r="B99" s="12">
        <v>23273</v>
      </c>
      <c r="C99" s="12" t="s">
        <v>203</v>
      </c>
      <c r="D99" s="12" t="s">
        <v>204</v>
      </c>
      <c r="E99" s="12" t="s">
        <v>38</v>
      </c>
      <c r="F99" s="12" t="s">
        <v>227</v>
      </c>
      <c r="G99" s="12" t="s">
        <v>21</v>
      </c>
      <c r="H99" s="13">
        <v>41256</v>
      </c>
      <c r="I99" s="14">
        <f t="shared" si="2"/>
        <v>12</v>
      </c>
      <c r="J99" s="15">
        <v>22</v>
      </c>
      <c r="K99" s="16">
        <v>9.99</v>
      </c>
      <c r="L99" s="21">
        <f t="shared" si="3"/>
        <v>219.78</v>
      </c>
    </row>
    <row r="100" spans="2:12">
      <c r="B100" s="12">
        <v>23280</v>
      </c>
      <c r="C100" s="12" t="s">
        <v>205</v>
      </c>
      <c r="D100" s="12" t="s">
        <v>37</v>
      </c>
      <c r="E100" s="12" t="s">
        <v>60</v>
      </c>
      <c r="F100" s="12" t="s">
        <v>229</v>
      </c>
      <c r="G100" s="12" t="s">
        <v>21</v>
      </c>
      <c r="H100" s="13">
        <v>41002</v>
      </c>
      <c r="I100" s="14">
        <f t="shared" si="2"/>
        <v>4</v>
      </c>
      <c r="J100" s="15">
        <v>30</v>
      </c>
      <c r="K100" s="16">
        <v>6.99</v>
      </c>
      <c r="L100" s="21">
        <f t="shared" si="3"/>
        <v>209.70000000000002</v>
      </c>
    </row>
    <row r="101" spans="2:12">
      <c r="B101" s="12">
        <v>23370</v>
      </c>
      <c r="C101" s="12" t="s">
        <v>206</v>
      </c>
      <c r="D101" s="12" t="s">
        <v>75</v>
      </c>
      <c r="E101" s="12" t="s">
        <v>144</v>
      </c>
      <c r="F101" s="12" t="s">
        <v>236</v>
      </c>
      <c r="G101" s="12" t="s">
        <v>27</v>
      </c>
      <c r="H101" s="13">
        <v>41028</v>
      </c>
      <c r="I101" s="14">
        <f t="shared" si="2"/>
        <v>4</v>
      </c>
      <c r="J101" s="15">
        <v>63</v>
      </c>
      <c r="K101" s="16">
        <v>3</v>
      </c>
      <c r="L101" s="21">
        <f t="shared" si="3"/>
        <v>189</v>
      </c>
    </row>
    <row r="102" spans="2:12">
      <c r="B102" s="12">
        <v>23372</v>
      </c>
      <c r="C102" s="12" t="s">
        <v>207</v>
      </c>
      <c r="D102" s="12" t="s">
        <v>208</v>
      </c>
      <c r="E102" s="12" t="s">
        <v>109</v>
      </c>
      <c r="F102" s="12" t="s">
        <v>235</v>
      </c>
      <c r="G102" s="12" t="s">
        <v>21</v>
      </c>
      <c r="H102" s="13">
        <v>41255</v>
      </c>
      <c r="I102" s="14">
        <f t="shared" si="2"/>
        <v>12</v>
      </c>
      <c r="J102" s="15">
        <v>22</v>
      </c>
      <c r="K102" s="16">
        <v>6.5</v>
      </c>
      <c r="L102" s="21">
        <f t="shared" si="3"/>
        <v>143</v>
      </c>
    </row>
    <row r="103" spans="2:12">
      <c r="B103" s="12">
        <v>23265</v>
      </c>
      <c r="C103" s="12" t="s">
        <v>209</v>
      </c>
      <c r="D103" s="12" t="s">
        <v>210</v>
      </c>
      <c r="E103" s="12" t="s">
        <v>38</v>
      </c>
      <c r="F103" s="12" t="s">
        <v>227</v>
      </c>
      <c r="G103" s="12" t="s">
        <v>27</v>
      </c>
      <c r="H103" s="13">
        <v>41248</v>
      </c>
      <c r="I103" s="14">
        <f t="shared" si="2"/>
        <v>12</v>
      </c>
      <c r="J103" s="15">
        <v>14</v>
      </c>
      <c r="K103" s="16">
        <v>9.99</v>
      </c>
      <c r="L103" s="21">
        <f t="shared" si="3"/>
        <v>139.86000000000001</v>
      </c>
    </row>
    <row r="104" spans="2:12">
      <c r="B104" s="12">
        <v>23346</v>
      </c>
      <c r="C104" s="12" t="s">
        <v>211</v>
      </c>
      <c r="D104" s="12" t="s">
        <v>127</v>
      </c>
      <c r="E104" s="12" t="s">
        <v>38</v>
      </c>
      <c r="F104" s="12" t="s">
        <v>227</v>
      </c>
      <c r="G104" s="12" t="s">
        <v>21</v>
      </c>
      <c r="H104" s="13">
        <v>41119</v>
      </c>
      <c r="I104" s="14">
        <f t="shared" si="2"/>
        <v>7</v>
      </c>
      <c r="J104" s="15">
        <v>13</v>
      </c>
      <c r="K104" s="16">
        <v>9.99</v>
      </c>
      <c r="L104" s="21">
        <f t="shared" si="3"/>
        <v>129.87</v>
      </c>
    </row>
    <row r="105" spans="2:12">
      <c r="B105" s="12">
        <v>23312</v>
      </c>
      <c r="C105" s="12" t="s">
        <v>212</v>
      </c>
      <c r="D105" s="12" t="s">
        <v>213</v>
      </c>
      <c r="E105" s="12" t="s">
        <v>98</v>
      </c>
      <c r="F105" s="12" t="s">
        <v>233</v>
      </c>
      <c r="G105" s="12" t="s">
        <v>21</v>
      </c>
      <c r="H105" s="13">
        <v>41096</v>
      </c>
      <c r="I105" s="14">
        <f t="shared" si="2"/>
        <v>7</v>
      </c>
      <c r="J105" s="15">
        <v>28</v>
      </c>
      <c r="K105" s="16">
        <v>3.99</v>
      </c>
      <c r="L105" s="21">
        <f t="shared" si="3"/>
        <v>111.72</v>
      </c>
    </row>
    <row r="106" spans="2:12">
      <c r="B106" s="12">
        <v>23355</v>
      </c>
      <c r="C106" s="12" t="s">
        <v>214</v>
      </c>
      <c r="D106" s="12" t="s">
        <v>123</v>
      </c>
      <c r="E106" s="12" t="s">
        <v>85</v>
      </c>
      <c r="F106" s="12" t="s">
        <v>232</v>
      </c>
      <c r="G106" s="12" t="s">
        <v>21</v>
      </c>
      <c r="H106" s="13">
        <v>41026</v>
      </c>
      <c r="I106" s="14">
        <f t="shared" si="2"/>
        <v>4</v>
      </c>
      <c r="J106" s="15">
        <v>16</v>
      </c>
      <c r="K106" s="16">
        <v>4.5</v>
      </c>
      <c r="L106" s="21">
        <f t="shared" si="3"/>
        <v>72</v>
      </c>
    </row>
    <row r="107" spans="2:12">
      <c r="B107" s="12">
        <v>23322</v>
      </c>
      <c r="C107" s="12" t="s">
        <v>215</v>
      </c>
      <c r="D107" s="12" t="s">
        <v>87</v>
      </c>
      <c r="E107" s="12" t="s">
        <v>144</v>
      </c>
      <c r="F107" s="12" t="s">
        <v>236</v>
      </c>
      <c r="G107" s="12" t="s">
        <v>27</v>
      </c>
      <c r="H107" s="13">
        <v>41009</v>
      </c>
      <c r="I107" s="14">
        <f t="shared" si="2"/>
        <v>4</v>
      </c>
      <c r="J107" s="15">
        <v>20</v>
      </c>
      <c r="K107" s="16">
        <v>3</v>
      </c>
      <c r="L107" s="21">
        <f t="shared" si="3"/>
        <v>60</v>
      </c>
    </row>
    <row r="108" spans="2:12">
      <c r="B108" s="12">
        <v>23298</v>
      </c>
      <c r="C108" s="12" t="s">
        <v>216</v>
      </c>
      <c r="D108" s="12" t="s">
        <v>217</v>
      </c>
      <c r="E108" s="12" t="s">
        <v>85</v>
      </c>
      <c r="F108" s="12" t="s">
        <v>232</v>
      </c>
      <c r="G108" s="12" t="s">
        <v>24</v>
      </c>
      <c r="H108" s="13">
        <v>41118</v>
      </c>
      <c r="I108" s="14">
        <f t="shared" si="2"/>
        <v>7</v>
      </c>
      <c r="J108" s="15">
        <v>12</v>
      </c>
      <c r="K108" s="16">
        <v>4.5</v>
      </c>
      <c r="L108" s="21">
        <f t="shared" si="3"/>
        <v>54</v>
      </c>
    </row>
    <row r="109" spans="2:12">
      <c r="B109" s="12">
        <v>23367</v>
      </c>
      <c r="C109" s="12" t="s">
        <v>218</v>
      </c>
      <c r="D109" s="12" t="s">
        <v>219</v>
      </c>
      <c r="E109" s="12" t="s">
        <v>85</v>
      </c>
      <c r="F109" s="12" t="s">
        <v>232</v>
      </c>
      <c r="G109" s="12" t="s">
        <v>27</v>
      </c>
      <c r="H109" s="13">
        <v>41023</v>
      </c>
      <c r="I109" s="14">
        <f t="shared" si="2"/>
        <v>4</v>
      </c>
      <c r="J109" s="15">
        <v>10</v>
      </c>
      <c r="K109" s="16">
        <v>4.5</v>
      </c>
      <c r="L109" s="21">
        <f t="shared" si="3"/>
        <v>45</v>
      </c>
    </row>
    <row r="110" spans="2:12">
      <c r="B110" s="12">
        <v>23334</v>
      </c>
      <c r="C110" s="12" t="s">
        <v>220</v>
      </c>
      <c r="D110" s="12" t="s">
        <v>115</v>
      </c>
      <c r="E110" s="12" t="s">
        <v>144</v>
      </c>
      <c r="F110" s="12" t="s">
        <v>236</v>
      </c>
      <c r="G110" s="12" t="s">
        <v>21</v>
      </c>
      <c r="H110" s="13">
        <v>41260</v>
      </c>
      <c r="I110" s="14">
        <f t="shared" si="2"/>
        <v>12</v>
      </c>
      <c r="J110" s="15">
        <v>14</v>
      </c>
      <c r="K110" s="16">
        <v>3</v>
      </c>
      <c r="L110" s="21">
        <f t="shared" si="3"/>
        <v>42</v>
      </c>
    </row>
    <row r="111" spans="2:12">
      <c r="B111" s="12">
        <v>23285</v>
      </c>
      <c r="C111" s="12" t="s">
        <v>221</v>
      </c>
      <c r="D111" s="12" t="s">
        <v>135</v>
      </c>
      <c r="E111" s="12" t="s">
        <v>107</v>
      </c>
      <c r="F111" s="12" t="s">
        <v>234</v>
      </c>
      <c r="G111" s="12" t="s">
        <v>27</v>
      </c>
      <c r="H111" s="13">
        <v>41114</v>
      </c>
      <c r="I111" s="14">
        <f t="shared" si="2"/>
        <v>7</v>
      </c>
      <c r="J111" s="15">
        <v>9</v>
      </c>
      <c r="K111" s="16">
        <v>4.5</v>
      </c>
      <c r="L111" s="21">
        <f t="shared" si="3"/>
        <v>40.5</v>
      </c>
    </row>
    <row r="112" spans="2:12">
      <c r="B112" s="12">
        <v>23375</v>
      </c>
      <c r="C112" s="12" t="s">
        <v>222</v>
      </c>
      <c r="D112" s="12" t="s">
        <v>123</v>
      </c>
      <c r="E112" s="12" t="s">
        <v>60</v>
      </c>
      <c r="F112" s="12" t="s">
        <v>229</v>
      </c>
      <c r="G112" s="12" t="s">
        <v>27</v>
      </c>
      <c r="H112" s="13">
        <v>41029</v>
      </c>
      <c r="I112" s="14">
        <f t="shared" si="2"/>
        <v>4</v>
      </c>
      <c r="J112" s="15">
        <v>5</v>
      </c>
      <c r="K112" s="16">
        <v>6.99</v>
      </c>
      <c r="L112" s="21">
        <f t="shared" si="3"/>
        <v>34.950000000000003</v>
      </c>
    </row>
    <row r="113" spans="2:12">
      <c r="B113" s="12">
        <v>23336</v>
      </c>
      <c r="C113" s="12" t="s">
        <v>223</v>
      </c>
      <c r="D113" s="12" t="s">
        <v>224</v>
      </c>
      <c r="E113" s="12" t="s">
        <v>107</v>
      </c>
      <c r="F113" s="12" t="s">
        <v>234</v>
      </c>
      <c r="G113" s="12" t="s">
        <v>27</v>
      </c>
      <c r="H113" s="13">
        <v>41091</v>
      </c>
      <c r="I113" s="14">
        <f t="shared" si="2"/>
        <v>7</v>
      </c>
      <c r="J113" s="15">
        <v>7</v>
      </c>
      <c r="K113" s="16">
        <v>4.5</v>
      </c>
      <c r="L113" s="21">
        <f t="shared" si="3"/>
        <v>31.5</v>
      </c>
    </row>
    <row r="114" spans="2:12">
      <c r="B114" s="12">
        <v>23279</v>
      </c>
      <c r="C114" s="12" t="s">
        <v>225</v>
      </c>
      <c r="D114" s="12" t="s">
        <v>198</v>
      </c>
      <c r="E114" s="12" t="s">
        <v>144</v>
      </c>
      <c r="F114" s="12" t="s">
        <v>236</v>
      </c>
      <c r="G114" s="12" t="s">
        <v>21</v>
      </c>
      <c r="H114" s="13">
        <v>41020</v>
      </c>
      <c r="I114" s="14">
        <f t="shared" si="2"/>
        <v>4</v>
      </c>
      <c r="J114" s="15">
        <v>10</v>
      </c>
      <c r="K114" s="16">
        <v>3</v>
      </c>
      <c r="L114" s="21">
        <f t="shared" si="3"/>
        <v>30</v>
      </c>
    </row>
    <row r="115" spans="2:12">
      <c r="B115" s="43"/>
      <c r="C115" s="43"/>
      <c r="D115" s="43"/>
      <c r="E115" s="43"/>
      <c r="F115" s="43"/>
      <c r="G115" s="43"/>
      <c r="H115" s="43"/>
      <c r="I115" s="43"/>
      <c r="J115" s="44"/>
      <c r="K115" s="43"/>
      <c r="L115" s="43"/>
    </row>
  </sheetData>
  <conditionalFormatting sqref="D1:D7 D116:D1048576">
    <cfRule type="duplicateValues" dxfId="181" priority="5"/>
  </conditionalFormatting>
  <conditionalFormatting sqref="C1:C7 C116:C1048576">
    <cfRule type="duplicateValues" dxfId="180" priority="4"/>
  </conditionalFormatting>
  <hyperlinks>
    <hyperlink ref="E3" location="'Section 1 - COUNTIFS'!A1" display="'Section 1 - COUNTIFS'!A1" xr:uid="{00000000-0004-0000-0200-000000000000}"/>
    <hyperlink ref="F3" location="'Section 2 - COUNTIFS (cont''d)'!A1" display="'Section 2 - COUNTIFS (cont''d)'!A1" xr:uid="{00000000-0004-0000-0200-000001000000}"/>
    <hyperlink ref="G3" location="'Section 3 - SUMIFS'!A1" display="'Section 3 - SUMIFS'!A1" xr:uid="{00000000-0004-0000-0200-000002000000}"/>
    <hyperlink ref="H3" location="'Section 4 - SUMIFS (cont''d)'!A1" display="'Section 4 - SUMIFS (cont''d)'!A1" xr:uid="{00000000-0004-0000-0200-000003000000}"/>
    <hyperlink ref="I3" location="'Section 5 - IF'!A1" display="'Section 5 - IF'!A1" xr:uid="{00000000-0004-0000-0200-000004000000}"/>
    <hyperlink ref="J3" location="'Section 6 - IF + AND'!A1" display="'Section 6 - IF + AND'!A1" xr:uid="{00000000-0004-0000-0200-000005000000}"/>
    <hyperlink ref="K3" location="'Section 7 - IF + OR'!A1" display="'Section 7 - IF + OR'!A1" xr:uid="{00000000-0004-0000-0200-000006000000}"/>
    <hyperlink ref="L3" location="'Section 8 - Nested IFs'!A1" display="'Section 8 - Nested IFs'!A1" xr:uid="{00000000-0004-0000-0200-000007000000}"/>
  </hyperlink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57"/>
  <sheetViews>
    <sheetView showGridLines="0" topLeftCell="A19" zoomScale="80" workbookViewId="0">
      <selection activeCell="D33" sqref="D33"/>
    </sheetView>
  </sheetViews>
  <sheetFormatPr defaultColWidth="9.5" defaultRowHeight="12.75" outlineLevelRow="1"/>
  <cols>
    <col min="1" max="1" width="9.5" style="2"/>
    <col min="2" max="2" width="48.83203125" style="2" customWidth="1"/>
    <col min="3" max="3" width="26" style="2" bestFit="1" customWidth="1"/>
    <col min="4" max="4" width="75.5" style="2" customWidth="1"/>
    <col min="5" max="5" width="32.5" style="2" customWidth="1"/>
    <col min="6" max="6" width="29" style="2" bestFit="1" customWidth="1"/>
    <col min="7" max="16384" width="9.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316</v>
      </c>
    </row>
    <row r="5" spans="1:3">
      <c r="A5" s="3"/>
    </row>
    <row r="7" spans="1:3" ht="18.75">
      <c r="B7" s="5" t="s">
        <v>343</v>
      </c>
    </row>
    <row r="8" spans="1:3" outlineLevel="1"/>
    <row r="9" spans="1:3" ht="18.75" outlineLevel="1">
      <c r="B9" s="22" t="s">
        <v>311</v>
      </c>
    </row>
    <row r="10" spans="1:3" outlineLevel="1"/>
    <row r="11" spans="1:3" ht="30" outlineLevel="1">
      <c r="B11" s="23" t="s">
        <v>237</v>
      </c>
      <c r="C11" s="62" t="s">
        <v>312</v>
      </c>
    </row>
    <row r="12" spans="1:3" ht="14.25" outlineLevel="1">
      <c r="B12" s="24" t="s">
        <v>236</v>
      </c>
      <c r="C12" s="114">
        <f>COUNTIFS(DataSet,B12)</f>
        <v>11</v>
      </c>
    </row>
    <row r="13" spans="1:3" ht="14.25" outlineLevel="1">
      <c r="B13" s="27" t="s">
        <v>233</v>
      </c>
      <c r="C13" s="114">
        <f>COUNTIFS(DataSet,B13)</f>
        <v>11</v>
      </c>
    </row>
    <row r="14" spans="1:3" ht="14.25" outlineLevel="1">
      <c r="B14" s="27" t="s">
        <v>232</v>
      </c>
      <c r="C14" s="114">
        <f>COUNTIFS(DataSet,B14)</f>
        <v>11</v>
      </c>
    </row>
    <row r="15" spans="1:3" ht="14.25" outlineLevel="1">
      <c r="B15" s="24" t="s">
        <v>235</v>
      </c>
      <c r="C15" s="114">
        <f>COUNTIFS(DataSet,B15)</f>
        <v>6</v>
      </c>
    </row>
    <row r="16" spans="1:3" ht="14.25" outlineLevel="1">
      <c r="B16" s="24" t="s">
        <v>231</v>
      </c>
      <c r="C16" s="114">
        <f>COUNTIFS(DataSet,B16)</f>
        <v>8</v>
      </c>
    </row>
    <row r="17" spans="2:6" ht="14.25" outlineLevel="1">
      <c r="B17" s="24" t="s">
        <v>230</v>
      </c>
      <c r="C17" s="114">
        <f>COUNTIFS(DataSet,B17)</f>
        <v>8</v>
      </c>
    </row>
    <row r="18" spans="2:6" ht="14.25" outlineLevel="1">
      <c r="B18" s="24" t="s">
        <v>228</v>
      </c>
      <c r="C18" s="114">
        <f>COUNTIFS(DataSet,B18)</f>
        <v>12</v>
      </c>
    </row>
    <row r="19" spans="2:6" ht="14.25" outlineLevel="1">
      <c r="B19" s="24" t="s">
        <v>234</v>
      </c>
      <c r="C19" s="114">
        <f>COUNTIFS(DataSet,B19)</f>
        <v>7</v>
      </c>
    </row>
    <row r="20" spans="2:6" ht="14.25" outlineLevel="1">
      <c r="B20" s="24" t="s">
        <v>229</v>
      </c>
      <c r="C20" s="114">
        <f>COUNTIFS(DataSet,B20)</f>
        <v>11</v>
      </c>
    </row>
    <row r="21" spans="2:6" ht="14.25" outlineLevel="1">
      <c r="B21" s="24" t="s">
        <v>227</v>
      </c>
      <c r="C21" s="114">
        <f>COUNTIFS(DataSet,B21)</f>
        <v>11</v>
      </c>
    </row>
    <row r="22" spans="2:6" ht="14.25" outlineLevel="1">
      <c r="B22" s="30" t="s">
        <v>226</v>
      </c>
      <c r="C22" s="114">
        <f>COUNTIFS(DataSet,B22)</f>
        <v>11</v>
      </c>
    </row>
    <row r="23" spans="2:6" outlineLevel="1"/>
    <row r="24" spans="2:6" outlineLevel="1"/>
    <row r="25" spans="2:6" outlineLevel="1"/>
    <row r="26" spans="2:6" outlineLevel="1"/>
    <row r="27" spans="2:6" ht="18.75" outlineLevel="1">
      <c r="B27" s="22" t="s">
        <v>313</v>
      </c>
    </row>
    <row r="28" spans="2:6" outlineLevel="1"/>
    <row r="29" spans="2:6" ht="15" outlineLevel="1">
      <c r="B29"/>
      <c r="C29" s="37" t="s">
        <v>295</v>
      </c>
      <c r="D29" s="37" t="s">
        <v>296</v>
      </c>
      <c r="E29" s="37" t="s">
        <v>297</v>
      </c>
      <c r="F29" s="37" t="s">
        <v>298</v>
      </c>
    </row>
    <row r="30" spans="2:6" ht="15" outlineLevel="1">
      <c r="B30" s="32" t="s">
        <v>249</v>
      </c>
      <c r="C30" s="82">
        <f>COUNTIFS('Data Set'!L8:L114,"&gt;1000")</f>
        <v>27</v>
      </c>
      <c r="D30" s="82">
        <f>COUNTIFS('Data Set'!L8:L114,"&lt;1000")</f>
        <v>80</v>
      </c>
      <c r="E30" s="82">
        <f>COUNTIFS('Data Set'!L8:L114,"=1000")</f>
        <v>0</v>
      </c>
      <c r="F30" s="82">
        <f>COUNTIFS('Data Set'!L8:L114,"&lt;&gt;1000")</f>
        <v>107</v>
      </c>
    </row>
    <row r="31" spans="2:6" outlineLevel="1"/>
    <row r="32" spans="2:6" outlineLevel="1"/>
    <row r="33" spans="2:3" ht="18.75">
      <c r="B33" s="5" t="s">
        <v>344</v>
      </c>
    </row>
    <row r="34" spans="2:3" outlineLevel="1"/>
    <row r="35" spans="2:3" ht="18.75" outlineLevel="1">
      <c r="B35" s="22" t="s">
        <v>372</v>
      </c>
    </row>
    <row r="36" spans="2:3" outlineLevel="1"/>
    <row r="37" spans="2:3" ht="45" customHeight="1" outlineLevel="1">
      <c r="B37" s="65" t="s">
        <v>12</v>
      </c>
      <c r="C37" s="66" t="s">
        <v>345</v>
      </c>
    </row>
    <row r="38" spans="2:3" ht="14.25" outlineLevel="1">
      <c r="B38" s="29" t="s">
        <v>21</v>
      </c>
      <c r="C38" s="83">
        <f>COUNTIFS(DataSet,B38)</f>
        <v>52</v>
      </c>
    </row>
    <row r="39" spans="2:3" ht="14.25" outlineLevel="1">
      <c r="B39" s="29" t="s">
        <v>24</v>
      </c>
      <c r="C39" s="83">
        <f>COUNTIFS(DataSet,B39)</f>
        <v>9</v>
      </c>
    </row>
    <row r="40" spans="2:3" ht="14.25" outlineLevel="1">
      <c r="B40" s="64" t="s">
        <v>27</v>
      </c>
      <c r="C40" s="84">
        <f>COUNTIFS(DataSet,B40)</f>
        <v>46</v>
      </c>
    </row>
    <row r="41" spans="2:3" outlineLevel="1"/>
    <row r="42" spans="2:3" outlineLevel="1"/>
    <row r="43" spans="2:3" outlineLevel="1"/>
    <row r="44" spans="2:3" outlineLevel="1"/>
    <row r="45" spans="2:3" outlineLevel="1"/>
    <row r="46" spans="2:3" ht="18.75" outlineLevel="1">
      <c r="B46" s="22" t="s">
        <v>373</v>
      </c>
    </row>
    <row r="47" spans="2:3" outlineLevel="1"/>
    <row r="48" spans="2:3" outlineLevel="1">
      <c r="B48"/>
      <c r="C48"/>
    </row>
    <row r="49" spans="2:6" ht="15" outlineLevel="1">
      <c r="B49"/>
      <c r="C49" s="37" t="s">
        <v>299</v>
      </c>
      <c r="D49" s="37" t="s">
        <v>300</v>
      </c>
      <c r="E49" s="37" t="s">
        <v>301</v>
      </c>
      <c r="F49" s="37" t="s">
        <v>302</v>
      </c>
    </row>
    <row r="50" spans="2:6" ht="15" outlineLevel="1">
      <c r="B50" s="32" t="s">
        <v>249</v>
      </c>
      <c r="C50" s="82">
        <f>COUNTIFS('Data Set'!J8:J114,"&gt;100")</f>
        <v>57</v>
      </c>
      <c r="D50" s="82">
        <f>COUNTIFS('Data Set'!J8:J114,"&lt;100")</f>
        <v>49</v>
      </c>
      <c r="E50" s="82">
        <f>COUNTIFS('Data Set'!J8:J114,"=100")</f>
        <v>1</v>
      </c>
      <c r="F50" s="82">
        <f>COUNTIFS('Data Set'!J8:J114,"&lt;&gt;100")</f>
        <v>106</v>
      </c>
    </row>
    <row r="51" spans="2:6" outlineLevel="1"/>
    <row r="52" spans="2:6" outlineLevel="1"/>
    <row r="53" spans="2:6" ht="18.75" outlineLevel="1">
      <c r="B53" s="5"/>
    </row>
    <row r="54" spans="2:6" outlineLevel="1"/>
    <row r="55" spans="2:6" outlineLevel="1"/>
    <row r="56" spans="2:6" outlineLevel="1"/>
    <row r="57" spans="2:6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countif_answer_1">
                <anchor moveWithCells="1" sizeWithCells="1">
                  <from>
                    <xdr:col>4</xdr:col>
                    <xdr:colOff>9525</xdr:colOff>
                    <xdr:row>10</xdr:row>
                    <xdr:rowOff>371475</xdr:rowOff>
                  </from>
                  <to>
                    <xdr:col>5</xdr:col>
                    <xdr:colOff>38100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countif_answer_2">
                <anchor moveWithCells="1" sizeWithCells="1">
                  <from>
                    <xdr:col>3</xdr:col>
                    <xdr:colOff>1524000</xdr:colOff>
                    <xdr:row>36</xdr:row>
                    <xdr:rowOff>123825</xdr:rowOff>
                  </from>
                  <to>
                    <xdr:col>3</xdr:col>
                    <xdr:colOff>3495675</xdr:colOff>
                    <xdr:row>36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5" tint="0.39997558519241921"/>
  </sheetPr>
  <dimension ref="A1:K57"/>
  <sheetViews>
    <sheetView showGridLines="0" topLeftCell="A28" zoomScale="80" workbookViewId="0">
      <selection activeCell="D33" sqref="D33"/>
    </sheetView>
  </sheetViews>
  <sheetFormatPr defaultColWidth="9.5" defaultRowHeight="12.75"/>
  <cols>
    <col min="1" max="1" width="9.5" style="2"/>
    <col min="2" max="2" width="48.83203125" style="2" customWidth="1"/>
    <col min="3" max="3" width="72.5" style="2" customWidth="1"/>
    <col min="4" max="4" width="71.5" style="2" customWidth="1"/>
    <col min="5" max="6" width="33" style="2" customWidth="1"/>
    <col min="7" max="16384" width="9.5" style="2"/>
  </cols>
  <sheetData>
    <row r="1" spans="1:11">
      <c r="A1" s="3" t="str">
        <f>Introduction!A1</f>
        <v>Problem Solving with Excel</v>
      </c>
    </row>
    <row r="2" spans="1:11">
      <c r="A2" s="3" t="str">
        <f>Introduction!A2</f>
        <v>Week 3</v>
      </c>
    </row>
    <row r="3" spans="1:11">
      <c r="A3" s="3" t="str">
        <f>Introduction!A3</f>
        <v>Logical Functions</v>
      </c>
    </row>
    <row r="4" spans="1:11">
      <c r="A4" s="3" t="s">
        <v>357</v>
      </c>
    </row>
    <row r="5" spans="1:11">
      <c r="A5" s="3"/>
    </row>
    <row r="6" spans="1:11" ht="14.25">
      <c r="B6" s="49" t="s">
        <v>250</v>
      </c>
      <c r="C6" s="48"/>
      <c r="D6" s="48"/>
      <c r="E6" s="50"/>
      <c r="F6" s="50"/>
      <c r="K6" s="6"/>
    </row>
    <row r="8" spans="1:11" ht="18.75">
      <c r="B8" s="5" t="s">
        <v>343</v>
      </c>
    </row>
    <row r="10" spans="1:11" ht="18.75">
      <c r="B10" s="22" t="s">
        <v>239</v>
      </c>
    </row>
    <row r="12" spans="1:11" ht="30">
      <c r="B12" s="23" t="s">
        <v>237</v>
      </c>
      <c r="C12" s="39" t="s">
        <v>255</v>
      </c>
      <c r="D12" s="39" t="s">
        <v>256</v>
      </c>
    </row>
    <row r="13" spans="1:11" ht="14.25">
      <c r="B13" s="24" t="s">
        <v>236</v>
      </c>
      <c r="C13" s="25">
        <f>COUNTIF('Data Set'!$F$7:$F$114,$B13)</f>
        <v>11</v>
      </c>
      <c r="D13" s="25">
        <f>COUNTIFS('Data Set'!$F$7:$F$114,$B13)</f>
        <v>11</v>
      </c>
    </row>
    <row r="14" spans="1:11" ht="14.25">
      <c r="B14" s="27" t="s">
        <v>233</v>
      </c>
      <c r="C14" s="28">
        <f>COUNTIF('Data Set'!$F$7:$F$114,$B14)</f>
        <v>11</v>
      </c>
      <c r="D14" s="51">
        <f>COUNTIFS('Data Set'!$F$7:$F$114,$B14)</f>
        <v>11</v>
      </c>
    </row>
    <row r="15" spans="1:11" ht="14.25">
      <c r="B15" s="27" t="s">
        <v>232</v>
      </c>
      <c r="C15" s="28">
        <f>COUNTIF('Data Set'!$F$7:$F$114,$B15)</f>
        <v>11</v>
      </c>
      <c r="D15" s="51">
        <f>COUNTIFS('Data Set'!$F$7:$F$114,$B15)</f>
        <v>11</v>
      </c>
    </row>
    <row r="16" spans="1:11" ht="14.25">
      <c r="B16" s="24" t="s">
        <v>235</v>
      </c>
      <c r="C16" s="25">
        <f>COUNTIF('Data Set'!$F$7:$F$114,$B16)</f>
        <v>6</v>
      </c>
      <c r="D16" s="51">
        <f>COUNTIFS('Data Set'!$F$7:$F$114,$B16)</f>
        <v>6</v>
      </c>
    </row>
    <row r="17" spans="2:7" ht="14.25">
      <c r="B17" s="24" t="s">
        <v>231</v>
      </c>
      <c r="C17" s="25">
        <f>COUNTIF('Data Set'!$F$7:$F$114,$B17)</f>
        <v>8</v>
      </c>
      <c r="D17" s="51">
        <f>COUNTIFS('Data Set'!$F$7:$F$114,$B17)</f>
        <v>8</v>
      </c>
    </row>
    <row r="18" spans="2:7" ht="14.25">
      <c r="B18" s="24" t="s">
        <v>230</v>
      </c>
      <c r="C18" s="25">
        <f>COUNTIF('Data Set'!$F$7:$F$114,$B18)</f>
        <v>8</v>
      </c>
      <c r="D18" s="51">
        <f>COUNTIFS('Data Set'!$F$7:$F$114,$B18)</f>
        <v>8</v>
      </c>
    </row>
    <row r="19" spans="2:7" ht="14.25">
      <c r="B19" s="24" t="s">
        <v>228</v>
      </c>
      <c r="C19" s="25">
        <f>COUNTIF('Data Set'!$F$7:$F$114,$B19)</f>
        <v>12</v>
      </c>
      <c r="D19" s="51">
        <f>COUNTIFS('Data Set'!$F$7:$F$114,$B19)</f>
        <v>12</v>
      </c>
    </row>
    <row r="20" spans="2:7" ht="14.25">
      <c r="B20" s="24" t="s">
        <v>234</v>
      </c>
      <c r="C20" s="25">
        <f>COUNTIF('Data Set'!$F$7:$F$114,$B20)</f>
        <v>7</v>
      </c>
      <c r="D20" s="51">
        <f>COUNTIFS('Data Set'!$F$7:$F$114,$B20)</f>
        <v>7</v>
      </c>
    </row>
    <row r="21" spans="2:7" ht="14.25">
      <c r="B21" s="24" t="s">
        <v>229</v>
      </c>
      <c r="C21" s="25">
        <f>COUNTIF('Data Set'!$F$7:$F$114,$B21)</f>
        <v>11</v>
      </c>
      <c r="D21" s="51">
        <f>COUNTIFS('Data Set'!$F$7:$F$114,$B21)</f>
        <v>11</v>
      </c>
    </row>
    <row r="22" spans="2:7" ht="14.25">
      <c r="B22" s="24" t="s">
        <v>227</v>
      </c>
      <c r="C22" s="25">
        <f>COUNTIF('Data Set'!$F$7:$F$114,$B22)</f>
        <v>11</v>
      </c>
      <c r="D22" s="51">
        <f>COUNTIFS('Data Set'!$F$7:$F$114,$B22)</f>
        <v>11</v>
      </c>
    </row>
    <row r="23" spans="2:7" ht="14.25">
      <c r="B23" s="30" t="s">
        <v>226</v>
      </c>
      <c r="C23" s="25">
        <f>COUNTIF('Data Set'!$F$7:$F$114,$B23)</f>
        <v>11</v>
      </c>
      <c r="D23" s="51">
        <f>COUNTIFS('Data Set'!$F$7:$F$114,$B23)</f>
        <v>11</v>
      </c>
    </row>
    <row r="26" spans="2:7" ht="18.75">
      <c r="B26" s="22" t="s">
        <v>313</v>
      </c>
    </row>
    <row r="28" spans="2:7" ht="15">
      <c r="B28"/>
      <c r="C28" s="37" t="s">
        <v>295</v>
      </c>
      <c r="D28" s="37" t="s">
        <v>296</v>
      </c>
      <c r="E28" s="37" t="s">
        <v>297</v>
      </c>
      <c r="F28" s="37" t="s">
        <v>298</v>
      </c>
    </row>
    <row r="29" spans="2:7" ht="15">
      <c r="B29" s="32" t="s">
        <v>249</v>
      </c>
      <c r="C29" s="26">
        <f>COUNTIFS('Data Set'!$L$7:$L$114,"&gt;1000")</f>
        <v>27</v>
      </c>
      <c r="D29" s="26">
        <f>COUNTIFS('Data Set'!$L$7:$L$114,"&lt;1000")</f>
        <v>80</v>
      </c>
      <c r="E29" s="26">
        <f>COUNTIFS('Data Set'!$L$7:$L$114,"=1000")</f>
        <v>0</v>
      </c>
      <c r="F29" s="26">
        <f>COUNTIFS('Data Set'!$L$8:$L$114,"&lt;&gt;1000")</f>
        <v>107</v>
      </c>
    </row>
    <row r="31" spans="2:7" ht="18.75">
      <c r="B31" s="5" t="s">
        <v>344</v>
      </c>
      <c r="G31"/>
    </row>
    <row r="32" spans="2:7">
      <c r="G32"/>
    </row>
    <row r="33" spans="2:7" ht="18.75">
      <c r="B33" s="22" t="s">
        <v>314</v>
      </c>
      <c r="G33"/>
    </row>
    <row r="35" spans="2:7" ht="30">
      <c r="B35" s="37" t="s">
        <v>12</v>
      </c>
      <c r="C35" s="47" t="s">
        <v>345</v>
      </c>
    </row>
    <row r="36" spans="2:7" ht="14.25">
      <c r="B36" s="29" t="s">
        <v>21</v>
      </c>
      <c r="C36" s="26">
        <f>COUNTIFS('Data Set'!$G$6:$G$114,$B36)</f>
        <v>52</v>
      </c>
    </row>
    <row r="37" spans="2:7" ht="14.25">
      <c r="B37" s="29" t="s">
        <v>24</v>
      </c>
      <c r="C37" s="26">
        <f>COUNTIFS('Data Set'!$G$6:$G$114,$B37)</f>
        <v>9</v>
      </c>
    </row>
    <row r="38" spans="2:7" ht="14.25">
      <c r="B38" s="29" t="s">
        <v>27</v>
      </c>
      <c r="C38" s="26">
        <f>COUNTIFS('Data Set'!$G$6:$G$114,$B38)</f>
        <v>46</v>
      </c>
    </row>
    <row r="40" spans="2:7" ht="18.75">
      <c r="B40" s="22" t="s">
        <v>315</v>
      </c>
    </row>
    <row r="42" spans="2:7">
      <c r="B42"/>
      <c r="C42"/>
    </row>
    <row r="43" spans="2:7" ht="15">
      <c r="B43"/>
      <c r="C43" s="37" t="s">
        <v>299</v>
      </c>
      <c r="D43" s="37" t="s">
        <v>300</v>
      </c>
      <c r="E43" s="37" t="s">
        <v>301</v>
      </c>
      <c r="F43" s="37" t="s">
        <v>302</v>
      </c>
    </row>
    <row r="44" spans="2:7" ht="15">
      <c r="B44" s="32" t="s">
        <v>249</v>
      </c>
      <c r="C44" s="26">
        <f>COUNTIFS('Data Set'!$J$6:$J$114,"&gt;100")</f>
        <v>57</v>
      </c>
      <c r="D44" s="26">
        <f>COUNTIFS('Data Set'!$J$6:$J$114,"&lt;100")</f>
        <v>49</v>
      </c>
      <c r="E44" s="26">
        <f>COUNTIFS('Data Set'!$J$6:$J$114,"=100")</f>
        <v>1</v>
      </c>
      <c r="F44" s="105">
        <f>COUNTIFS('Data Set'!$J$8:$J$114,"&lt;&gt;100")</f>
        <v>106</v>
      </c>
    </row>
    <row r="57" spans="2:2" ht="18.75">
      <c r="B5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countif_problem_1">
                <anchor moveWithCells="1" sizeWithCells="1">
                  <from>
                    <xdr:col>4</xdr:col>
                    <xdr:colOff>114300</xdr:colOff>
                    <xdr:row>11</xdr:row>
                    <xdr:rowOff>257175</xdr:rowOff>
                  </from>
                  <to>
                    <xdr:col>5</xdr:col>
                    <xdr:colOff>342900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countif_problem_2">
                <anchor moveWithCells="1" sizeWithCells="1">
                  <from>
                    <xdr:col>3</xdr:col>
                    <xdr:colOff>762000</xdr:colOff>
                    <xdr:row>31</xdr:row>
                    <xdr:rowOff>142875</xdr:rowOff>
                  </from>
                  <to>
                    <xdr:col>3</xdr:col>
                    <xdr:colOff>2628900</xdr:colOff>
                    <xdr:row>34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63"/>
  <sheetViews>
    <sheetView showGridLines="0" topLeftCell="A27" zoomScale="80" workbookViewId="0">
      <selection activeCell="F37" sqref="F37"/>
    </sheetView>
  </sheetViews>
  <sheetFormatPr defaultColWidth="9.5" defaultRowHeight="12.75" outlineLevelRow="1"/>
  <cols>
    <col min="1" max="1" width="9.5" style="2"/>
    <col min="2" max="2" width="44" style="2" customWidth="1"/>
    <col min="3" max="3" width="52.5" style="2" bestFit="1" customWidth="1"/>
    <col min="4" max="4" width="35.5" style="2" customWidth="1"/>
    <col min="5" max="16384" width="9.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317</v>
      </c>
    </row>
    <row r="5" spans="1:15">
      <c r="O5" s="6"/>
    </row>
    <row r="7" spans="1:15" ht="18.75">
      <c r="B7" s="5" t="s">
        <v>365</v>
      </c>
    </row>
    <row r="8" spans="1:15" outlineLevel="1"/>
    <row r="9" spans="1:15" ht="18.75" outlineLevel="1">
      <c r="B9" s="22" t="s">
        <v>326</v>
      </c>
      <c r="C9" s="35"/>
      <c r="D9" s="35"/>
    </row>
    <row r="10" spans="1:15" ht="18.75" outlineLevel="1">
      <c r="B10" s="22"/>
      <c r="C10" s="35"/>
      <c r="D10" s="35"/>
    </row>
    <row r="11" spans="1:15" ht="18.75" outlineLevel="1">
      <c r="B11" s="22" t="s">
        <v>237</v>
      </c>
      <c r="C11" s="35" t="s">
        <v>226</v>
      </c>
      <c r="D11" s="35"/>
    </row>
    <row r="12" spans="1:15" outlineLevel="1">
      <c r="B12" s="36"/>
      <c r="C12" s="35"/>
      <c r="D12" s="35"/>
    </row>
    <row r="13" spans="1:15" ht="15" outlineLevel="1">
      <c r="B13" s="65" t="s">
        <v>12</v>
      </c>
      <c r="C13" s="65" t="s">
        <v>338</v>
      </c>
    </row>
    <row r="14" spans="1:15" ht="14.25" outlineLevel="1">
      <c r="B14" s="29" t="s">
        <v>21</v>
      </c>
      <c r="C14" s="83">
        <f>COUNTIFS('Data Set'!$F$8:$F$114,$C$11,'Data Set'!$G$8:$G$114,$B14)</f>
        <v>4</v>
      </c>
    </row>
    <row r="15" spans="1:15" ht="14.25" outlineLevel="1">
      <c r="B15" s="29" t="s">
        <v>24</v>
      </c>
      <c r="C15" s="83">
        <f>COUNTIFS('Data Set'!$F$8:$F$114,$C$11,'Data Set'!$G$8:$G$114,$B15)</f>
        <v>2</v>
      </c>
    </row>
    <row r="16" spans="1:15" ht="14.25" outlineLevel="1">
      <c r="B16" s="64" t="s">
        <v>27</v>
      </c>
      <c r="C16" s="84">
        <f>COUNTIFS('Data Set'!$F$8:$F$114,$C$11,'Data Set'!$G$8:$G$114,$B16)</f>
        <v>5</v>
      </c>
    </row>
    <row r="17" spans="2:3" outlineLevel="1"/>
    <row r="18" spans="2:3" ht="18.75" outlineLevel="1">
      <c r="B18" s="5"/>
    </row>
    <row r="19" spans="2:3" outlineLevel="1"/>
    <row r="20" spans="2:3" ht="18.75">
      <c r="B20" s="5" t="s">
        <v>346</v>
      </c>
    </row>
    <row r="21" spans="2:3" outlineLevel="1"/>
    <row r="22" spans="2:3" ht="18.75" outlineLevel="1">
      <c r="B22" s="22" t="s">
        <v>327</v>
      </c>
      <c r="C22" s="35"/>
    </row>
    <row r="23" spans="2:3" outlineLevel="1">
      <c r="B23" s="36"/>
      <c r="C23" s="35"/>
    </row>
    <row r="24" spans="2:3" ht="15" outlineLevel="1">
      <c r="B24" s="65" t="s">
        <v>12</v>
      </c>
      <c r="C24" s="65" t="s">
        <v>339</v>
      </c>
    </row>
    <row r="25" spans="2:3" ht="14.25" outlineLevel="1">
      <c r="B25" s="29" t="s">
        <v>21</v>
      </c>
      <c r="C25" s="83">
        <f>COUNTIFS('Data Set'!$F$8:$F$114,$C$11,'Data Set'!$G$8:$G$114,$B25,'Data Set'!$J$8:$J$114,"&gt;100")</f>
        <v>3</v>
      </c>
    </row>
    <row r="26" spans="2:3" ht="14.25" outlineLevel="1">
      <c r="B26" s="29" t="s">
        <v>24</v>
      </c>
      <c r="C26" s="83">
        <f>COUNTIFS('Data Set'!$F$8:$F$114,$C$11,'Data Set'!$G$8:$G$114,$B26,'Data Set'!$J$8:$J$114,"&gt;100")</f>
        <v>2</v>
      </c>
    </row>
    <row r="27" spans="2:3" ht="14.25" outlineLevel="1">
      <c r="B27" s="64" t="s">
        <v>27</v>
      </c>
      <c r="C27" s="84">
        <f>COUNTIFS('Data Set'!$F$8:$F$114,$C$11,'Data Set'!$G$8:$G$114,$B27,'Data Set'!$J$8:$J$114,"&gt;100")</f>
        <v>3</v>
      </c>
    </row>
    <row r="28" spans="2:3" outlineLevel="1"/>
    <row r="29" spans="2:3" outlineLevel="1"/>
    <row r="30" spans="2:3" outlineLevel="1"/>
    <row r="31" spans="2:3" ht="18.75" outlineLevel="1">
      <c r="B31" s="5"/>
    </row>
    <row r="32" spans="2:3" outlineLevel="1"/>
    <row r="33" spans="2:4" ht="18.75" outlineLevel="1">
      <c r="B33" s="22" t="s">
        <v>288</v>
      </c>
      <c r="C33" s="35"/>
    </row>
    <row r="34" spans="2:4" outlineLevel="1">
      <c r="B34" s="36"/>
      <c r="C34" s="35"/>
    </row>
    <row r="35" spans="2:4" ht="15" outlineLevel="1">
      <c r="B35" s="23" t="s">
        <v>237</v>
      </c>
      <c r="C35" s="41" t="s">
        <v>247</v>
      </c>
      <c r="D35" s="80" t="s">
        <v>338</v>
      </c>
    </row>
    <row r="36" spans="2:4" ht="14.25" outlineLevel="1">
      <c r="B36" s="24" t="s">
        <v>236</v>
      </c>
      <c r="C36" s="42" t="s">
        <v>243</v>
      </c>
      <c r="D36" s="85">
        <f>COUNTIFS('Data Set'!$F$8:$F$114,B36,'Data Set'!$J$8:$J$114,C36)</f>
        <v>8</v>
      </c>
    </row>
    <row r="37" spans="2:4" ht="14.25" outlineLevel="1">
      <c r="B37" s="27" t="s">
        <v>233</v>
      </c>
      <c r="C37" s="42" t="s">
        <v>244</v>
      </c>
      <c r="D37" s="85">
        <f>COUNTIFS('Data Set'!$F$8:$F$114,B37,'Data Set'!$J$8:$J$114,C37)</f>
        <v>7</v>
      </c>
    </row>
    <row r="38" spans="2:4" ht="14.25" outlineLevel="1">
      <c r="B38" s="27" t="s">
        <v>232</v>
      </c>
      <c r="C38" s="42" t="s">
        <v>245</v>
      </c>
      <c r="D38" s="85">
        <f>COUNTIFS('Data Set'!$F$8:$F$114,B38,'Data Set'!$J$8:$J$114,C38)</f>
        <v>5</v>
      </c>
    </row>
    <row r="39" spans="2:4" ht="14.25" outlineLevel="1">
      <c r="B39" s="24" t="s">
        <v>231</v>
      </c>
      <c r="C39" s="42" t="s">
        <v>243</v>
      </c>
      <c r="D39" s="85">
        <f>COUNTIFS('Data Set'!$F$8:$F$114,B39,'Data Set'!$J$8:$J$114,C39)</f>
        <v>7</v>
      </c>
    </row>
    <row r="40" spans="2:4" ht="14.25" outlineLevel="1">
      <c r="B40" s="24" t="s">
        <v>230</v>
      </c>
      <c r="C40" s="42" t="s">
        <v>244</v>
      </c>
      <c r="D40" s="85">
        <f>COUNTIFS('Data Set'!$F$8:$F$114,B40,'Data Set'!$J$8:$J$114,C40)</f>
        <v>2</v>
      </c>
    </row>
    <row r="41" spans="2:4" ht="14.25" outlineLevel="1">
      <c r="B41" s="24" t="s">
        <v>228</v>
      </c>
      <c r="C41" s="42" t="s">
        <v>245</v>
      </c>
      <c r="D41" s="85">
        <f>COUNTIFS('Data Set'!$F$8:$F$114,B41,'Data Set'!$J$8:$J$114,C41)</f>
        <v>6</v>
      </c>
    </row>
    <row r="42" spans="2:4" ht="14.25" outlineLevel="1">
      <c r="B42" s="24" t="s">
        <v>234</v>
      </c>
      <c r="C42" s="42" t="s">
        <v>243</v>
      </c>
      <c r="D42" s="85">
        <f>COUNTIFS('Data Set'!$F$8:$F$114,B42,'Data Set'!$J$8:$J$114,C42)</f>
        <v>5</v>
      </c>
    </row>
    <row r="43" spans="2:4" ht="14.25" outlineLevel="1">
      <c r="B43" s="24" t="s">
        <v>229</v>
      </c>
      <c r="C43" s="42" t="s">
        <v>244</v>
      </c>
      <c r="D43" s="85">
        <f>COUNTIFS('Data Set'!$F$8:$F$114,B43,'Data Set'!$J$8:$J$114,C43)</f>
        <v>4</v>
      </c>
    </row>
    <row r="44" spans="2:4" ht="14.25" outlineLevel="1">
      <c r="B44" s="24" t="s">
        <v>227</v>
      </c>
      <c r="C44" s="42" t="s">
        <v>245</v>
      </c>
      <c r="D44" s="85">
        <f>COUNTIFS('Data Set'!$F$8:$F$114,B44,'Data Set'!$J$8:$J$114,C44)</f>
        <v>3</v>
      </c>
    </row>
    <row r="45" spans="2:4" ht="14.25" outlineLevel="1">
      <c r="B45" s="30" t="s">
        <v>226</v>
      </c>
      <c r="C45" s="42" t="s">
        <v>243</v>
      </c>
      <c r="D45" s="85">
        <f>COUNTIFS('Data Set'!$F$8:$F$114,B45,'Data Set'!$J$8:$J$114,C45)</f>
        <v>9</v>
      </c>
    </row>
    <row r="46" spans="2:4" outlineLevel="1"/>
    <row r="47" spans="2:4" outlineLevel="1"/>
    <row r="63" spans="2:2" ht="18.75">
      <c r="B63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ountif_answer_3">
                <anchor moveWithCells="1" sizeWithCells="1">
                  <from>
                    <xdr:col>3</xdr:col>
                    <xdr:colOff>723900</xdr:colOff>
                    <xdr:row>12</xdr:row>
                    <xdr:rowOff>123825</xdr:rowOff>
                  </from>
                  <to>
                    <xdr:col>3</xdr:col>
                    <xdr:colOff>1971675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hisWorkbook.countif_answer_4">
                <anchor moveWithCells="1" sizeWithCells="1">
                  <from>
                    <xdr:col>3</xdr:col>
                    <xdr:colOff>723900</xdr:colOff>
                    <xdr:row>23</xdr:row>
                    <xdr:rowOff>180975</xdr:rowOff>
                  </from>
                  <to>
                    <xdr:col>3</xdr:col>
                    <xdr:colOff>1971675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ThisWorkbook.countif_answer_5">
                <anchor moveWithCells="1" sizeWithCells="1">
                  <from>
                    <xdr:col>4</xdr:col>
                    <xdr:colOff>381000</xdr:colOff>
                    <xdr:row>36</xdr:row>
                    <xdr:rowOff>152400</xdr:rowOff>
                  </from>
                  <to>
                    <xdr:col>7</xdr:col>
                    <xdr:colOff>28575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5" tint="0.39997558519241921"/>
  </sheetPr>
  <dimension ref="A1:O70"/>
  <sheetViews>
    <sheetView showGridLines="0" topLeftCell="A20" zoomScale="80" workbookViewId="0">
      <selection activeCell="F37" sqref="F37"/>
    </sheetView>
  </sheetViews>
  <sheetFormatPr defaultColWidth="9.5" defaultRowHeight="12.75" outlineLevelRow="1"/>
  <cols>
    <col min="1" max="1" width="9.5" style="2"/>
    <col min="2" max="2" width="44" style="2" customWidth="1"/>
    <col min="3" max="3" width="52.5" style="2" bestFit="1" customWidth="1"/>
    <col min="4" max="4" width="35.5" style="2" customWidth="1"/>
    <col min="5" max="16384" width="9.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318</v>
      </c>
    </row>
    <row r="5" spans="1:15">
      <c r="O5" s="6"/>
    </row>
    <row r="7" spans="1:15" ht="18.75">
      <c r="B7" s="5" t="s">
        <v>365</v>
      </c>
    </row>
    <row r="8" spans="1:15" outlineLevel="1"/>
    <row r="9" spans="1:15" ht="18.75" outlineLevel="1">
      <c r="B9" s="22" t="s">
        <v>326</v>
      </c>
      <c r="C9" s="35"/>
      <c r="D9" s="35"/>
    </row>
    <row r="10" spans="1:15" outlineLevel="1">
      <c r="B10" s="36"/>
      <c r="C10" s="35"/>
      <c r="D10" s="35"/>
    </row>
    <row r="11" spans="1:15" ht="18.75" outlineLevel="1">
      <c r="B11" s="22" t="s">
        <v>237</v>
      </c>
      <c r="C11" s="35" t="s">
        <v>226</v>
      </c>
    </row>
    <row r="12" spans="1:15" outlineLevel="1"/>
    <row r="13" spans="1:15" ht="15" outlineLevel="1">
      <c r="B13" s="37" t="s">
        <v>12</v>
      </c>
      <c r="C13" s="52" t="s">
        <v>338</v>
      </c>
    </row>
    <row r="14" spans="1:15" ht="14.25" outlineLevel="1">
      <c r="B14" s="29" t="s">
        <v>21</v>
      </c>
      <c r="C14" s="26">
        <f>COUNTIFS('Data Set'!$F$7:$F$114,$C$11,'Data Set'!$G$7:$G$114,$B14)</f>
        <v>4</v>
      </c>
    </row>
    <row r="15" spans="1:15" ht="14.25" outlineLevel="1">
      <c r="B15" s="29" t="s">
        <v>24</v>
      </c>
      <c r="C15" s="26">
        <f>COUNTIFS('Data Set'!$F$7:$F$114,$C$11,'Data Set'!$G$7:$G$114,$B15)</f>
        <v>2</v>
      </c>
    </row>
    <row r="16" spans="1:15" ht="14.25" outlineLevel="1">
      <c r="B16" s="29" t="s">
        <v>27</v>
      </c>
      <c r="C16" s="26">
        <f>COUNTIFS('Data Set'!$F$7:$F$114,$C$11,'Data Set'!$G$7:$G$114,$B16)</f>
        <v>5</v>
      </c>
    </row>
    <row r="17" spans="2:3" outlineLevel="1"/>
    <row r="18" spans="2:3" ht="18.75" outlineLevel="1">
      <c r="B18" s="5" t="s">
        <v>346</v>
      </c>
    </row>
    <row r="19" spans="2:3" outlineLevel="1"/>
    <row r="20" spans="2:3" ht="18.75" outlineLevel="1">
      <c r="B20" s="22" t="s">
        <v>327</v>
      </c>
      <c r="C20" s="35"/>
    </row>
    <row r="21" spans="2:3" outlineLevel="1">
      <c r="B21" s="36"/>
      <c r="C21" s="35"/>
    </row>
    <row r="22" spans="2:3" ht="15" outlineLevel="1">
      <c r="B22" s="52" t="s">
        <v>12</v>
      </c>
      <c r="C22" s="52" t="s">
        <v>339</v>
      </c>
    </row>
    <row r="23" spans="2:3" ht="14.25" outlineLevel="1">
      <c r="B23" s="29" t="s">
        <v>21</v>
      </c>
      <c r="C23" s="26">
        <f>COUNTIFS('Data Set'!$F$7:$F$114,$C$11,'Data Set'!$G$7:$G$114,$B23,'Data Set'!$J$7:$J$114,"&gt;100")</f>
        <v>3</v>
      </c>
    </row>
    <row r="24" spans="2:3" ht="14.25">
      <c r="B24" s="29" t="s">
        <v>24</v>
      </c>
      <c r="C24" s="26">
        <f>COUNTIFS('Data Set'!$F$7:$F$114,$C$11,'Data Set'!$G$7:$G$114,$B24,'Data Set'!$J$7:$J$114,"&gt;100")</f>
        <v>2</v>
      </c>
    </row>
    <row r="25" spans="2:3" ht="14.25" outlineLevel="1">
      <c r="B25" s="29" t="s">
        <v>27</v>
      </c>
      <c r="C25" s="26">
        <f>COUNTIFS('Data Set'!$F$7:$F$114,$C$11,'Data Set'!$G$7:$G$114,$B25,'Data Set'!$J$7:$J$114,"&gt;100")</f>
        <v>3</v>
      </c>
    </row>
    <row r="26" spans="2:3" outlineLevel="1"/>
    <row r="27" spans="2:3" outlineLevel="1"/>
    <row r="28" spans="2:3" outlineLevel="1"/>
    <row r="29" spans="2:3" ht="18.75" outlineLevel="1">
      <c r="B29" s="5"/>
    </row>
    <row r="30" spans="2:3" outlineLevel="1"/>
    <row r="31" spans="2:3" ht="18.75" outlineLevel="1">
      <c r="B31" s="22" t="s">
        <v>288</v>
      </c>
      <c r="C31" s="35"/>
    </row>
    <row r="32" spans="2:3" outlineLevel="1">
      <c r="B32" s="36"/>
      <c r="C32" s="35"/>
    </row>
    <row r="33" spans="2:4" ht="15" outlineLevel="1">
      <c r="B33" s="23" t="s">
        <v>237</v>
      </c>
      <c r="C33" s="41" t="s">
        <v>247</v>
      </c>
      <c r="D33" s="38" t="s">
        <v>246</v>
      </c>
    </row>
    <row r="34" spans="2:4" ht="14.25" outlineLevel="1">
      <c r="B34" s="24" t="s">
        <v>236</v>
      </c>
      <c r="C34" s="42" t="s">
        <v>243</v>
      </c>
      <c r="D34" s="40">
        <f>COUNTIFS('Data Set'!$F$7:$F$114,$B34,'Data Set'!$J$7:$J$114,$C34)</f>
        <v>8</v>
      </c>
    </row>
    <row r="35" spans="2:4" ht="14.25" outlineLevel="1">
      <c r="B35" s="27" t="s">
        <v>233</v>
      </c>
      <c r="C35" s="42" t="s">
        <v>244</v>
      </c>
      <c r="D35" s="40">
        <f>COUNTIFS('Data Set'!$F$7:$F$114,$B35,'Data Set'!$J$7:$J$114,$C35)</f>
        <v>7</v>
      </c>
    </row>
    <row r="36" spans="2:4" ht="14.25" outlineLevel="1">
      <c r="B36" s="27" t="s">
        <v>232</v>
      </c>
      <c r="C36" s="42" t="s">
        <v>245</v>
      </c>
      <c r="D36" s="40">
        <f>COUNTIFS('Data Set'!$F$7:$F$114,$B36,'Data Set'!$J$7:$J$114,$C36)</f>
        <v>5</v>
      </c>
    </row>
    <row r="37" spans="2:4" ht="14.25" outlineLevel="1">
      <c r="B37" s="24" t="s">
        <v>231</v>
      </c>
      <c r="C37" s="42" t="s">
        <v>243</v>
      </c>
      <c r="D37" s="40">
        <f>COUNTIFS('Data Set'!$F$7:$F$114,$B37,'Data Set'!$J$7:$J$114,$C37)</f>
        <v>7</v>
      </c>
    </row>
    <row r="38" spans="2:4" ht="14.25" outlineLevel="1">
      <c r="B38" s="24" t="s">
        <v>230</v>
      </c>
      <c r="C38" s="42" t="s">
        <v>244</v>
      </c>
      <c r="D38" s="40">
        <f>COUNTIFS('Data Set'!$F$7:$F$114,$B38,'Data Set'!$J$7:$J$114,$C38)</f>
        <v>2</v>
      </c>
    </row>
    <row r="39" spans="2:4" ht="14.25" outlineLevel="1">
      <c r="B39" s="24" t="s">
        <v>228</v>
      </c>
      <c r="C39" s="42" t="s">
        <v>245</v>
      </c>
      <c r="D39" s="40">
        <f>COUNTIFS('Data Set'!$F$7:$F$114,$B39,'Data Set'!$J$7:$J$114,$C39)</f>
        <v>6</v>
      </c>
    </row>
    <row r="40" spans="2:4" ht="14.25" outlineLevel="1">
      <c r="B40" s="24" t="s">
        <v>234</v>
      </c>
      <c r="C40" s="42" t="s">
        <v>243</v>
      </c>
      <c r="D40" s="40">
        <f>COUNTIFS('Data Set'!$F$7:$F$114,$B40,'Data Set'!$J$7:$J$114,$C40)</f>
        <v>5</v>
      </c>
    </row>
    <row r="41" spans="2:4" ht="14.25" outlineLevel="1">
      <c r="B41" s="24" t="s">
        <v>229</v>
      </c>
      <c r="C41" s="42" t="s">
        <v>244</v>
      </c>
      <c r="D41" s="40">
        <f>COUNTIFS('Data Set'!$F$7:$F$114,$B41,'Data Set'!$J$7:$J$114,$C41)</f>
        <v>4</v>
      </c>
    </row>
    <row r="42" spans="2:4" ht="14.25" outlineLevel="1">
      <c r="B42" s="24" t="s">
        <v>227</v>
      </c>
      <c r="C42" s="42" t="s">
        <v>245</v>
      </c>
      <c r="D42" s="40">
        <f>COUNTIFS('Data Set'!$F$7:$F$114,$B42,'Data Set'!$J$7:$J$114,$C42)</f>
        <v>3</v>
      </c>
    </row>
    <row r="43" spans="2:4" ht="14.25" outlineLevel="1">
      <c r="B43" s="30" t="s">
        <v>226</v>
      </c>
      <c r="C43" s="42" t="s">
        <v>243</v>
      </c>
      <c r="D43" s="40">
        <f>COUNTIFS('Data Set'!$F$7:$F$114,$B43,'Data Set'!$J$7:$J$114,$C43)</f>
        <v>9</v>
      </c>
    </row>
    <row r="44" spans="2:4" outlineLevel="1"/>
    <row r="45" spans="2:4" ht="18.75">
      <c r="B45" s="5"/>
    </row>
    <row r="46" spans="2:4" outlineLevel="1"/>
    <row r="47" spans="2:4" outlineLevel="1"/>
    <row r="48" spans="2:4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outlineLevel="1"/>
    <row r="68" spans="2:2" outlineLevel="1"/>
    <row r="69" spans="2:2" outlineLevel="1"/>
    <row r="70" spans="2:2" ht="18.75">
      <c r="B70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countif_problem_3">
                <anchor moveWithCells="1" sizeWithCells="1">
                  <from>
                    <xdr:col>3</xdr:col>
                    <xdr:colOff>276225</xdr:colOff>
                    <xdr:row>11</xdr:row>
                    <xdr:rowOff>142875</xdr:rowOff>
                  </from>
                  <to>
                    <xdr:col>3</xdr:col>
                    <xdr:colOff>1943100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hisWorkbook.countif_problem_4">
                <anchor moveWithCells="1" sizeWithCells="1">
                  <from>
                    <xdr:col>3</xdr:col>
                    <xdr:colOff>295275</xdr:colOff>
                    <xdr:row>21</xdr:row>
                    <xdr:rowOff>190500</xdr:rowOff>
                  </from>
                  <to>
                    <xdr:col>3</xdr:col>
                    <xdr:colOff>1943100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hisWorkbook.countif_problem_5">
                <anchor moveWithCells="1" sizeWithCells="1">
                  <from>
                    <xdr:col>4</xdr:col>
                    <xdr:colOff>200025</xdr:colOff>
                    <xdr:row>36</xdr:row>
                    <xdr:rowOff>9525</xdr:rowOff>
                  </from>
                  <to>
                    <xdr:col>7</xdr:col>
                    <xdr:colOff>266700</xdr:colOff>
                    <xdr:row>38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62"/>
  <sheetViews>
    <sheetView showGridLines="0" topLeftCell="A32" zoomScale="80" workbookViewId="0">
      <selection activeCell="D37" sqref="D37"/>
    </sheetView>
  </sheetViews>
  <sheetFormatPr defaultColWidth="9.5" defaultRowHeight="12.75" outlineLevelRow="1"/>
  <cols>
    <col min="1" max="1" width="9.5" style="2"/>
    <col min="2" max="2" width="67" style="2" customWidth="1"/>
    <col min="3" max="3" width="49.83203125" style="2" bestFit="1" customWidth="1"/>
    <col min="4" max="4" width="37.83203125" style="2" customWidth="1"/>
    <col min="5" max="5" width="19" style="2" bestFit="1" customWidth="1"/>
    <col min="6" max="6" width="29" style="2" bestFit="1" customWidth="1"/>
    <col min="7" max="16384" width="9.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319</v>
      </c>
    </row>
    <row r="5" spans="1:3">
      <c r="A5" s="3"/>
    </row>
    <row r="6" spans="1:3">
      <c r="A6" s="3"/>
    </row>
    <row r="9" spans="1:3" ht="18.75">
      <c r="B9" s="5" t="s">
        <v>347</v>
      </c>
    </row>
    <row r="10" spans="1:3" outlineLevel="1"/>
    <row r="11" spans="1:3" ht="18.75" outlineLevel="1">
      <c r="B11" s="22" t="s">
        <v>240</v>
      </c>
    </row>
    <row r="12" spans="1:3" outlineLevel="1"/>
    <row r="13" spans="1:3" ht="30" outlineLevel="1">
      <c r="B13" s="23" t="s">
        <v>237</v>
      </c>
      <c r="C13" s="63" t="s">
        <v>252</v>
      </c>
    </row>
    <row r="14" spans="1:3" ht="14.25" outlineLevel="1">
      <c r="B14" s="24" t="s">
        <v>236</v>
      </c>
      <c r="C14" s="86">
        <f>SUMIFS('Data Set'!$L$8:$L$114,'Data Set'!$F$8:$F$114,B14)</f>
        <v>3024</v>
      </c>
    </row>
    <row r="15" spans="1:3" ht="14.25" outlineLevel="1">
      <c r="B15" s="24" t="s">
        <v>233</v>
      </c>
      <c r="C15" s="86">
        <f>SUMIFS('Data Set'!$L$8:$L$114,'Data Set'!$F$8:$F$114,B15)</f>
        <v>4971.5400000000009</v>
      </c>
    </row>
    <row r="16" spans="1:3" ht="14.25" outlineLevel="1">
      <c r="B16" s="24" t="s">
        <v>232</v>
      </c>
      <c r="C16" s="86">
        <f>SUMIFS('Data Set'!$L$8:$L$114,'Data Set'!$F$8:$F$114,B16)</f>
        <v>6106.5</v>
      </c>
    </row>
    <row r="17" spans="2:4" ht="14.25" outlineLevel="1">
      <c r="B17" s="24" t="s">
        <v>235</v>
      </c>
      <c r="C17" s="86">
        <f>SUMIFS('Data Set'!$L$8:$L$114,'Data Set'!$F$8:$F$114,B17)</f>
        <v>2645.5</v>
      </c>
    </row>
    <row r="18" spans="2:4" ht="14.25" outlineLevel="1">
      <c r="B18" s="24" t="s">
        <v>231</v>
      </c>
      <c r="C18" s="86">
        <f>SUMIFS('Data Set'!$L$8:$L$114,'Data Set'!$F$8:$F$114,B18)</f>
        <v>4704</v>
      </c>
    </row>
    <row r="19" spans="2:4" ht="14.25" outlineLevel="1">
      <c r="B19" s="24" t="s">
        <v>230</v>
      </c>
      <c r="C19" s="86">
        <f>SUMIFS('Data Set'!$L$8:$L$114,'Data Set'!$F$8:$F$114,B19)</f>
        <v>4849</v>
      </c>
    </row>
    <row r="20" spans="2:4" ht="14.25" outlineLevel="1">
      <c r="B20" s="24" t="s">
        <v>228</v>
      </c>
      <c r="C20" s="86">
        <f>SUMIFS('Data Set'!$L$8:$L$114,'Data Set'!$F$8:$F$114,B20)</f>
        <v>15885</v>
      </c>
    </row>
    <row r="21" spans="2:4" ht="14.25" outlineLevel="1">
      <c r="B21" s="24" t="s">
        <v>234</v>
      </c>
      <c r="C21" s="86">
        <f>SUMIFS('Data Set'!$L$8:$L$114,'Data Set'!$F$8:$F$114,B21)</f>
        <v>3042</v>
      </c>
    </row>
    <row r="22" spans="2:4" ht="14.25" outlineLevel="1">
      <c r="B22" s="24" t="s">
        <v>229</v>
      </c>
      <c r="C22" s="86">
        <f>SUMIFS('Data Set'!$L$8:$L$114,'Data Set'!$F$8:$F$114,B22)</f>
        <v>7066.8899999999994</v>
      </c>
    </row>
    <row r="23" spans="2:4" ht="14.25" outlineLevel="1">
      <c r="B23" s="24" t="s">
        <v>227</v>
      </c>
      <c r="C23" s="86">
        <f>SUMIFS('Data Set'!$L$8:$L$114,'Data Set'!$F$8:$F$114,B23)</f>
        <v>9310.6800000000021</v>
      </c>
    </row>
    <row r="24" spans="2:4" ht="14.25" outlineLevel="1">
      <c r="B24" s="30" t="s">
        <v>226</v>
      </c>
      <c r="C24" s="86">
        <f>SUMIFS('Data Set'!$L$8:$L$114,'Data Set'!$F$8:$F$114,B24)</f>
        <v>20938</v>
      </c>
    </row>
    <row r="25" spans="2:4" outlineLevel="1"/>
    <row r="26" spans="2:4" outlineLevel="1"/>
    <row r="27" spans="2:4" outlineLevel="1"/>
    <row r="28" spans="2:4" ht="18.75" outlineLevel="1">
      <c r="B28" s="5"/>
    </row>
    <row r="29" spans="2:4" outlineLevel="1"/>
    <row r="30" spans="2:4" ht="18.75" outlineLevel="1">
      <c r="B30" s="22" t="s">
        <v>241</v>
      </c>
    </row>
    <row r="31" spans="2:4" outlineLevel="1"/>
    <row r="32" spans="2:4" outlineLevel="1">
      <c r="B32"/>
      <c r="C32"/>
      <c r="D32"/>
    </row>
    <row r="33" spans="2:4" ht="15" outlineLevel="1">
      <c r="B33" s="33" t="s">
        <v>253</v>
      </c>
      <c r="C33" s="87">
        <f>SUMIFS(table_data[Revenue],table_data[Quantity],"&lt;100")</f>
        <v>16819.620000000006</v>
      </c>
    </row>
    <row r="34" spans="2:4" outlineLevel="1"/>
    <row r="36" spans="2:4" ht="18.75">
      <c r="B36" s="5" t="s">
        <v>348</v>
      </c>
    </row>
    <row r="37" spans="2:4" outlineLevel="1"/>
    <row r="38" spans="2:4" ht="18.75" outlineLevel="1">
      <c r="B38" s="22" t="s">
        <v>242</v>
      </c>
    </row>
    <row r="39" spans="2:4" outlineLevel="1"/>
    <row r="40" spans="2:4" outlineLevel="1">
      <c r="B40"/>
      <c r="C40"/>
      <c r="D40"/>
    </row>
    <row r="41" spans="2:4" ht="15" outlineLevel="1">
      <c r="B41" s="33" t="s">
        <v>254</v>
      </c>
      <c r="C41" s="98">
        <f>SUMIFS(table_data[Revenue],table_data[Month Sold],"=8")</f>
        <v>33326.979999999996</v>
      </c>
    </row>
    <row r="42" spans="2:4" outlineLevel="1"/>
    <row r="43" spans="2:4" outlineLevel="1"/>
    <row r="44" spans="2:4" outlineLevel="1"/>
    <row r="45" spans="2:4" outlineLevel="1"/>
    <row r="46" spans="2:4" outlineLevel="1"/>
    <row r="47" spans="2:4" outlineLevel="1"/>
    <row r="48" spans="2:4" outlineLevel="1"/>
    <row r="49" spans="2:6" ht="18.75" outlineLevel="1">
      <c r="B49" s="5"/>
    </row>
    <row r="50" spans="2:6" outlineLevel="1"/>
    <row r="51" spans="2:6" outlineLevel="1"/>
    <row r="52" spans="2:6" ht="18.75" outlineLevel="1">
      <c r="B52" s="22" t="s">
        <v>305</v>
      </c>
    </row>
    <row r="53" spans="2:6" outlineLevel="1"/>
    <row r="54" spans="2:6" ht="15" outlineLevel="1">
      <c r="B54"/>
      <c r="C54" s="37" t="s">
        <v>306</v>
      </c>
      <c r="D54" s="37" t="s">
        <v>307</v>
      </c>
      <c r="E54" s="37" t="s">
        <v>308</v>
      </c>
      <c r="F54" s="37" t="s">
        <v>309</v>
      </c>
    </row>
    <row r="55" spans="2:6" ht="15" outlineLevel="1">
      <c r="B55" s="32" t="s">
        <v>304</v>
      </c>
      <c r="C55" s="88">
        <f>SUMIFS(table_data[Revenue],table_data[Revenue],"&gt;2000")</f>
        <v>17603</v>
      </c>
      <c r="D55" s="88">
        <f>SUMIFS(table_data[Revenue],table_data[Revenue],"&lt;2000")</f>
        <v>64940.109999999986</v>
      </c>
      <c r="E55" s="88">
        <f>SUMIFS(table_data[Revenue],table_data[Revenue],"=2000")</f>
        <v>0</v>
      </c>
      <c r="F55" s="88">
        <f>SUMIFS(table_data[Revenue],table_data[Revenue],"&lt;&gt;2000")</f>
        <v>82543.11</v>
      </c>
    </row>
    <row r="56" spans="2:6" outlineLevel="1"/>
    <row r="57" spans="2:6" outlineLevel="1"/>
    <row r="58" spans="2:6" outlineLevel="1"/>
    <row r="59" spans="2:6" outlineLevel="1"/>
    <row r="60" spans="2:6" outlineLevel="1"/>
    <row r="61" spans="2:6" outlineLevel="1"/>
    <row r="62" spans="2:6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sumif_answer_1">
                <anchor moveWithCells="1" sizeWithCells="1">
                  <from>
                    <xdr:col>2</xdr:col>
                    <xdr:colOff>371475</xdr:colOff>
                    <xdr:row>26</xdr:row>
                    <xdr:rowOff>85725</xdr:rowOff>
                  </from>
                  <to>
                    <xdr:col>2</xdr:col>
                    <xdr:colOff>1533525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sumif_answer_2">
                <anchor moveWithCells="1" sizeWithCells="1">
                  <from>
                    <xdr:col>2</xdr:col>
                    <xdr:colOff>942975</xdr:colOff>
                    <xdr:row>35</xdr:row>
                    <xdr:rowOff>228600</xdr:rowOff>
                  </from>
                  <to>
                    <xdr:col>2</xdr:col>
                    <xdr:colOff>2466975</xdr:colOff>
                    <xdr:row>37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5" tint="0.39997558519241921"/>
  </sheetPr>
  <dimension ref="A1:I71"/>
  <sheetViews>
    <sheetView showGridLines="0" topLeftCell="C43" zoomScale="80" workbookViewId="0">
      <selection activeCell="D37" sqref="D37"/>
    </sheetView>
  </sheetViews>
  <sheetFormatPr defaultColWidth="9.5" defaultRowHeight="12.75" outlineLevelRow="1"/>
  <cols>
    <col min="1" max="1" width="9.5" style="2"/>
    <col min="2" max="2" width="73" style="2" customWidth="1"/>
    <col min="3" max="3" width="49.83203125" style="2" customWidth="1"/>
    <col min="4" max="4" width="44.5" style="2" customWidth="1"/>
    <col min="5" max="5" width="50.5" style="2" bestFit="1" customWidth="1"/>
    <col min="6" max="6" width="84.5" style="2" customWidth="1"/>
    <col min="7" max="16384" width="9.5" style="2"/>
  </cols>
  <sheetData>
    <row r="1" spans="1:9">
      <c r="A1" s="3" t="str">
        <f>Introduction!A1</f>
        <v>Problem Solving with Excel</v>
      </c>
    </row>
    <row r="2" spans="1:9">
      <c r="A2" s="3" t="str">
        <f>Introduction!A2</f>
        <v>Week 3</v>
      </c>
    </row>
    <row r="3" spans="1:9">
      <c r="A3" s="3" t="str">
        <f>Introduction!A3</f>
        <v>Logical Functions</v>
      </c>
    </row>
    <row r="4" spans="1:9">
      <c r="A4" s="3" t="s">
        <v>356</v>
      </c>
    </row>
    <row r="5" spans="1:9">
      <c r="A5" s="3"/>
    </row>
    <row r="6" spans="1:9">
      <c r="A6" s="3"/>
    </row>
    <row r="7" spans="1:9" ht="14.25">
      <c r="B7" s="49" t="s">
        <v>284</v>
      </c>
      <c r="C7" s="48"/>
      <c r="D7" s="48"/>
      <c r="I7" s="6"/>
    </row>
    <row r="9" spans="1:9" ht="18.75">
      <c r="B9" s="5" t="s">
        <v>347</v>
      </c>
    </row>
    <row r="10" spans="1:9" outlineLevel="1"/>
    <row r="11" spans="1:9" ht="18.75" outlineLevel="1">
      <c r="B11" s="22" t="s">
        <v>285</v>
      </c>
    </row>
    <row r="12" spans="1:9" outlineLevel="1"/>
    <row r="13" spans="1:9" ht="30" outlineLevel="1">
      <c r="B13" s="31" t="s">
        <v>237</v>
      </c>
      <c r="C13" s="63" t="s">
        <v>251</v>
      </c>
      <c r="D13" s="63" t="s">
        <v>252</v>
      </c>
    </row>
    <row r="14" spans="1:9" ht="14.25" outlineLevel="1">
      <c r="B14" s="24" t="s">
        <v>236</v>
      </c>
      <c r="C14" s="95">
        <f>SUMIF('Data Set'!$F$7:$F$114,$B14,'Data Set'!$L$7:$L$114)</f>
        <v>3024</v>
      </c>
      <c r="D14" s="95">
        <f>SUMIFS('Data Set'!$L$7:$L$114,'Data Set'!$F$7:$F$114,$B14)</f>
        <v>3024</v>
      </c>
    </row>
    <row r="15" spans="1:9" ht="14.25" outlineLevel="1">
      <c r="B15" s="24" t="s">
        <v>233</v>
      </c>
      <c r="C15" s="95">
        <f>SUMIF('Data Set'!$F$7:$F$114,$B15,'Data Set'!$L$7:$L$114)</f>
        <v>4971.5400000000009</v>
      </c>
      <c r="D15" s="95">
        <f>SUMIFS('Data Set'!$L$7:$L$114,'Data Set'!$F$7:$F$114,$B15)</f>
        <v>4971.5400000000009</v>
      </c>
    </row>
    <row r="16" spans="1:9" ht="14.25" outlineLevel="1">
      <c r="B16" s="24" t="s">
        <v>232</v>
      </c>
      <c r="C16" s="95">
        <f>SUMIF('Data Set'!$F$7:$F$114,$B16,'Data Set'!$L$7:$L$114)</f>
        <v>6106.5</v>
      </c>
      <c r="D16" s="95">
        <f>SUMIFS('Data Set'!$L$7:$L$114,'Data Set'!$F$7:$F$114,$B16)</f>
        <v>6106.5</v>
      </c>
    </row>
    <row r="17" spans="2:6" ht="14.25" outlineLevel="1">
      <c r="B17" s="24" t="s">
        <v>235</v>
      </c>
      <c r="C17" s="95">
        <f>SUMIF('Data Set'!$F$7:$F$114,$B17,'Data Set'!$L$7:$L$114)</f>
        <v>2645.5</v>
      </c>
      <c r="D17" s="95">
        <f>SUMIFS('Data Set'!$L$7:$L$114,'Data Set'!$F$7:$F$114,$B17)</f>
        <v>2645.5</v>
      </c>
    </row>
    <row r="18" spans="2:6" ht="14.25" outlineLevel="1">
      <c r="B18" s="24" t="s">
        <v>231</v>
      </c>
      <c r="C18" s="95">
        <f>SUMIF('Data Set'!$F$7:$F$114,$B18,'Data Set'!$L$7:$L$114)</f>
        <v>4704</v>
      </c>
      <c r="D18" s="95">
        <f>SUMIFS('Data Set'!$L$7:$L$114,'Data Set'!$F$7:$F$114,$B18)</f>
        <v>4704</v>
      </c>
    </row>
    <row r="19" spans="2:6" ht="14.25" outlineLevel="1">
      <c r="B19" s="24" t="s">
        <v>230</v>
      </c>
      <c r="C19" s="95">
        <f>SUMIF('Data Set'!$F$7:$F$114,$B19,'Data Set'!$L$7:$L$114)</f>
        <v>4849</v>
      </c>
      <c r="D19" s="95">
        <f>SUMIFS('Data Set'!$L$7:$L$114,'Data Set'!$F$7:$F$114,$B19)</f>
        <v>4849</v>
      </c>
    </row>
    <row r="20" spans="2:6" ht="14.25" outlineLevel="1">
      <c r="B20" s="24" t="s">
        <v>228</v>
      </c>
      <c r="C20" s="95">
        <f>SUMIF('Data Set'!$F$7:$F$114,$B20,'Data Set'!$L$7:$L$114)</f>
        <v>15885</v>
      </c>
      <c r="D20" s="95">
        <f>SUMIFS('Data Set'!$L$7:$L$114,'Data Set'!$F$7:$F$114,$B20)</f>
        <v>15885</v>
      </c>
    </row>
    <row r="21" spans="2:6" ht="14.25" outlineLevel="1">
      <c r="B21" s="24" t="s">
        <v>234</v>
      </c>
      <c r="C21" s="95">
        <f>SUMIF('Data Set'!$F$7:$F$114,$B21,'Data Set'!$L$7:$L$114)</f>
        <v>3042</v>
      </c>
      <c r="D21" s="95">
        <f>SUMIFS('Data Set'!$L$7:$L$114,'Data Set'!$F$7:$F$114,$B21)</f>
        <v>3042</v>
      </c>
    </row>
    <row r="22" spans="2:6" ht="14.25" outlineLevel="1">
      <c r="B22" s="24" t="s">
        <v>229</v>
      </c>
      <c r="C22" s="95">
        <f>SUMIF('Data Set'!$F$7:$F$114,$B22,'Data Set'!$L$7:$L$114)</f>
        <v>7066.8899999999994</v>
      </c>
      <c r="D22" s="95">
        <f>SUMIFS('Data Set'!$L$7:$L$114,'Data Set'!$F$7:$F$114,$B22)</f>
        <v>7066.8899999999994</v>
      </c>
    </row>
    <row r="23" spans="2:6" ht="14.25" outlineLevel="1">
      <c r="B23" s="24" t="s">
        <v>227</v>
      </c>
      <c r="C23" s="95">
        <f>SUMIF('Data Set'!$F$7:$F$114,$B23,'Data Set'!$L$7:$L$114)</f>
        <v>9310.6800000000021</v>
      </c>
      <c r="D23" s="95">
        <f>SUMIFS('Data Set'!$L$7:$L$114,'Data Set'!$F$7:$F$114,$B23)</f>
        <v>9310.6800000000021</v>
      </c>
    </row>
    <row r="24" spans="2:6" ht="14.25" outlineLevel="1">
      <c r="B24" s="30" t="s">
        <v>226</v>
      </c>
      <c r="C24" s="95">
        <f>SUMIF('Data Set'!$F$7:$F$114,$B24,'Data Set'!$L$7:$L$114)</f>
        <v>20938</v>
      </c>
      <c r="D24" s="95">
        <f>SUMIFS('Data Set'!$L$7:$L$114,'Data Set'!$F$7:$F$114,$B24)</f>
        <v>20938</v>
      </c>
    </row>
    <row r="25" spans="2:6" outlineLevel="1"/>
    <row r="27" spans="2:6" outlineLevel="1"/>
    <row r="28" spans="2:6" ht="18.75" outlineLevel="1">
      <c r="B28" s="5"/>
    </row>
    <row r="29" spans="2:6" outlineLevel="1"/>
    <row r="30" spans="2:6" ht="18.75" outlineLevel="1">
      <c r="B30" s="22" t="s">
        <v>286</v>
      </c>
    </row>
    <row r="31" spans="2:6" outlineLevel="1"/>
    <row r="32" spans="2:6" ht="15" outlineLevel="1">
      <c r="B32"/>
      <c r="C32" s="37" t="s">
        <v>299</v>
      </c>
      <c r="D32" s="37" t="s">
        <v>300</v>
      </c>
      <c r="E32" s="37" t="s">
        <v>301</v>
      </c>
      <c r="F32" s="37" t="s">
        <v>302</v>
      </c>
    </row>
    <row r="33" spans="2:6" ht="15" outlineLevel="1">
      <c r="B33" s="32" t="s">
        <v>303</v>
      </c>
      <c r="C33" s="26">
        <f>SUMIFS('Data Set'!$L$7:$L$114,'Data Set'!$J$7:$J$114,"&gt;100")</f>
        <v>65123.49</v>
      </c>
      <c r="D33" s="26">
        <f>SUMIFS('Data Set'!$L$7:$L$114,'Data Set'!$J$7:$J$114,"&lt;100")</f>
        <v>16819.620000000006</v>
      </c>
      <c r="E33" s="26">
        <f>SUMIFS('Data Set'!$L$7:$L$114,'Data Set'!$J$7:$J$114,"=100")</f>
        <v>600</v>
      </c>
      <c r="F33" s="26">
        <f>SUMIFS('Data Set'!$L$7:$L$114,'Data Set'!$J$7:$J$114,"&lt;&gt;100")</f>
        <v>81943.11</v>
      </c>
    </row>
    <row r="34" spans="2:6" outlineLevel="1"/>
    <row r="35" spans="2:6" outlineLevel="1"/>
    <row r="36" spans="2:6" ht="18.75" outlineLevel="1">
      <c r="B36" s="5" t="s">
        <v>348</v>
      </c>
    </row>
    <row r="37" spans="2:6" outlineLevel="1"/>
    <row r="38" spans="2:6" ht="18.75" outlineLevel="1">
      <c r="B38" s="22" t="s">
        <v>287</v>
      </c>
    </row>
    <row r="39" spans="2:6" outlineLevel="1"/>
    <row r="40" spans="2:6" outlineLevel="1">
      <c r="B40"/>
      <c r="C40"/>
    </row>
    <row r="41" spans="2:6" ht="15" outlineLevel="1">
      <c r="B41" s="33" t="s">
        <v>254</v>
      </c>
      <c r="C41" s="34">
        <f>SUMIFS('Data Set'!$L$7:$L$114,'Data Set'!$I$7:$I$114,8)</f>
        <v>33326.979999999996</v>
      </c>
    </row>
    <row r="42" spans="2:6" outlineLevel="1"/>
    <row r="43" spans="2:6" outlineLevel="1"/>
    <row r="44" spans="2:6" outlineLevel="1"/>
    <row r="45" spans="2:6" outlineLevel="1"/>
    <row r="46" spans="2:6" outlineLevel="1"/>
    <row r="48" spans="2:6" outlineLevel="1"/>
    <row r="49" spans="2:6" ht="18.75" outlineLevel="1">
      <c r="B49" s="5"/>
    </row>
    <row r="50" spans="2:6" outlineLevel="1"/>
    <row r="51" spans="2:6" outlineLevel="1"/>
    <row r="52" spans="2:6" ht="18.75" outlineLevel="1">
      <c r="B52" s="22" t="s">
        <v>305</v>
      </c>
    </row>
    <row r="53" spans="2:6" outlineLevel="1"/>
    <row r="54" spans="2:6" ht="15" outlineLevel="1">
      <c r="B54"/>
      <c r="C54" s="37" t="s">
        <v>306</v>
      </c>
      <c r="D54" s="37" t="s">
        <v>307</v>
      </c>
      <c r="E54" s="37" t="s">
        <v>308</v>
      </c>
      <c r="F54" s="37" t="s">
        <v>309</v>
      </c>
    </row>
    <row r="55" spans="2:6" ht="15" outlineLevel="1">
      <c r="B55" s="32" t="s">
        <v>304</v>
      </c>
      <c r="C55" s="26">
        <f>SUMIFS('Data Set'!$L$7:$L$114,'Data Set'!$L$7:$L$114,"&gt;2000")</f>
        <v>17603</v>
      </c>
      <c r="D55" s="26">
        <f>SUMIFS('Data Set'!$L$7:$L$114,'Data Set'!$L$7:$L$114,"&lt;2000")</f>
        <v>64940.109999999986</v>
      </c>
      <c r="E55" s="26">
        <f>SUMIFS('Data Set'!$L$7:$L$114,'Data Set'!$L$7:$L$114,"=2000")</f>
        <v>0</v>
      </c>
      <c r="F55" s="26">
        <f>SUMIFS('Data Set'!$L$7:$L$114,'Data Set'!$L$7:$L$114,"&lt;&gt;2000")</f>
        <v>82543.11</v>
      </c>
    </row>
    <row r="56" spans="2:6" outlineLevel="1"/>
    <row r="57" spans="2:6" outlineLevel="1"/>
    <row r="58" spans="2:6" outlineLevel="1"/>
    <row r="59" spans="2:6" outlineLevel="1"/>
    <row r="60" spans="2:6" outlineLevel="1"/>
    <row r="61" spans="2:6" outlineLevel="1"/>
    <row r="62" spans="2:6" outlineLevel="1"/>
    <row r="63" spans="2:6" outlineLevel="1"/>
    <row r="64" spans="2:6" outlineLevel="1"/>
    <row r="65" outlineLevel="1"/>
    <row r="66" outlineLevel="1"/>
    <row r="67" outlineLevel="1"/>
    <row r="68" outlineLevel="1"/>
    <row r="69" outlineLevel="1"/>
    <row r="70" outlineLevel="1"/>
    <row r="71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sumif_problem_1">
                <anchor moveWithCells="1" sizeWithCells="1">
                  <from>
                    <xdr:col>3</xdr:col>
                    <xdr:colOff>200025</xdr:colOff>
                    <xdr:row>26</xdr:row>
                    <xdr:rowOff>152400</xdr:rowOff>
                  </from>
                  <to>
                    <xdr:col>3</xdr:col>
                    <xdr:colOff>1333500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hisWorkbook.sumif_problem_2">
                <anchor moveWithCells="1" sizeWithCells="1">
                  <from>
                    <xdr:col>3</xdr:col>
                    <xdr:colOff>647700</xdr:colOff>
                    <xdr:row>42</xdr:row>
                    <xdr:rowOff>114300</xdr:rowOff>
                  </from>
                  <to>
                    <xdr:col>3</xdr:col>
                    <xdr:colOff>2047875</xdr:colOff>
                    <xdr:row>44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52"/>
  <sheetViews>
    <sheetView showGridLines="0" topLeftCell="A28" zoomScale="80" workbookViewId="0">
      <selection activeCell="E44" sqref="E44"/>
    </sheetView>
  </sheetViews>
  <sheetFormatPr defaultColWidth="9.5" defaultRowHeight="12.75" outlineLevelRow="1"/>
  <cols>
    <col min="1" max="1" width="9.5" style="2"/>
    <col min="2" max="2" width="44" style="2" customWidth="1"/>
    <col min="3" max="3" width="52.5" style="2" bestFit="1" customWidth="1"/>
    <col min="4" max="4" width="35.5" style="2" customWidth="1"/>
    <col min="5" max="5" width="31.5" style="2" customWidth="1"/>
    <col min="6" max="8" width="9.5" style="2"/>
    <col min="9" max="9" width="14.5" style="2" bestFit="1" customWidth="1"/>
    <col min="10" max="16384" width="9.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320</v>
      </c>
    </row>
    <row r="5" spans="1:15">
      <c r="O5" s="6"/>
    </row>
    <row r="7" spans="1:15" ht="18.75">
      <c r="B7" s="5" t="s">
        <v>366</v>
      </c>
    </row>
    <row r="8" spans="1:15" outlineLevel="1"/>
    <row r="9" spans="1:15" ht="18.75" outlineLevel="1">
      <c r="B9" s="22" t="s">
        <v>289</v>
      </c>
      <c r="C9" s="35"/>
    </row>
    <row r="10" spans="1:15" outlineLevel="1">
      <c r="B10" s="36"/>
      <c r="C10" s="35"/>
    </row>
    <row r="11" spans="1:15" ht="15" outlineLevel="1">
      <c r="B11" s="65" t="s">
        <v>12</v>
      </c>
      <c r="C11" s="65" t="s">
        <v>248</v>
      </c>
    </row>
    <row r="12" spans="1:15" ht="14.25" outlineLevel="1">
      <c r="B12" s="29" t="s">
        <v>21</v>
      </c>
      <c r="C12" s="96">
        <f>SUMIFS(table_data[Revenue],table_data[Quantity],"&gt;100",table_data[Sales Channel],table_problem4A[[#This Row],[Sales Channel]])</f>
        <v>27479.010000000002</v>
      </c>
    </row>
    <row r="13" spans="1:15" ht="14.25" outlineLevel="1">
      <c r="B13" s="29" t="s">
        <v>24</v>
      </c>
      <c r="C13" s="96">
        <f>SUMIFS(table_data[Revenue],table_data[Quantity],"&gt;100",table_data[Sales Channel],table_problem4A[[#This Row],[Sales Channel]])</f>
        <v>9246.59</v>
      </c>
    </row>
    <row r="14" spans="1:15" ht="14.25" outlineLevel="1">
      <c r="B14" s="64" t="s">
        <v>27</v>
      </c>
      <c r="C14" s="97">
        <f>SUMIFS(table_data[Revenue],table_data[Quantity],"&gt;100",table_data[Sales Channel],table_problem4A[[#This Row],[Sales Channel]])</f>
        <v>28397.89</v>
      </c>
    </row>
    <row r="15" spans="1:15" outlineLevel="1"/>
    <row r="16" spans="1:15" outlineLevel="1"/>
    <row r="17" spans="2:5" outlineLevel="1"/>
    <row r="18" spans="2:5" outlineLevel="1"/>
    <row r="19" spans="2:5" outlineLevel="1"/>
    <row r="20" spans="2:5" ht="18.75" outlineLevel="1">
      <c r="B20" s="22" t="s">
        <v>336</v>
      </c>
    </row>
    <row r="21" spans="2:5" outlineLevel="1"/>
    <row r="22" spans="2:5" ht="15" outlineLevel="1">
      <c r="B22" s="65" t="s">
        <v>237</v>
      </c>
      <c r="C22" s="65" t="s">
        <v>21</v>
      </c>
      <c r="D22" s="65" t="s">
        <v>24</v>
      </c>
      <c r="E22" s="65" t="s">
        <v>27</v>
      </c>
    </row>
    <row r="23" spans="2:5" ht="14.25" outlineLevel="1">
      <c r="B23" s="29" t="s">
        <v>236</v>
      </c>
      <c r="C23" s="99">
        <f>SUMIFS(table_data[Revenue],table_data[Sales Channel],C$22,table_data[Product],table_problem4B_salesbychannel[[#This Row],[Product]])</f>
        <v>1749</v>
      </c>
      <c r="D23" s="99">
        <f>SUMIFS(table_data[Revenue],table_data[Sales Channel],D$22,table_data[Product],table_problem4B_salesbychannel[[#This Row],[Product]])</f>
        <v>0</v>
      </c>
      <c r="E23" s="99">
        <f>SUMIFS(table_data[Revenue],table_data[Sales Channel],E$22,table_data[Product],table_problem4B_salesbychannel[[#This Row],[Product]])</f>
        <v>1275</v>
      </c>
    </row>
    <row r="24" spans="2:5" ht="14.25" outlineLevel="1">
      <c r="B24" s="29" t="s">
        <v>233</v>
      </c>
      <c r="C24" s="99">
        <f>SUMIFS(table_data[Revenue],table_data[Sales Channel],C$22,table_data[Product],table_problem4B_salesbychannel[[#This Row],[Product]])</f>
        <v>3487.2599999999998</v>
      </c>
      <c r="D24" s="99">
        <f>SUMIFS(table_data[Revenue],table_data[Sales Channel],D$22,table_data[Product],table_problem4B_salesbychannel[[#This Row],[Product]])</f>
        <v>0</v>
      </c>
      <c r="E24" s="99">
        <f>SUMIFS(table_data[Revenue],table_data[Sales Channel],E$22,table_data[Product],table_problem4B_salesbychannel[[#This Row],[Product]])</f>
        <v>1484.2800000000002</v>
      </c>
    </row>
    <row r="25" spans="2:5" ht="14.25" outlineLevel="1">
      <c r="B25" s="29" t="s">
        <v>232</v>
      </c>
      <c r="C25" s="99">
        <f>SUMIFS(table_data[Revenue],table_data[Sales Channel],C$22,table_data[Product],table_problem4B_salesbychannel[[#This Row],[Product]])</f>
        <v>549</v>
      </c>
      <c r="D25" s="99">
        <f>SUMIFS(table_data[Revenue],table_data[Sales Channel],D$22,table_data[Product],table_problem4B_salesbychannel[[#This Row],[Product]])</f>
        <v>1849.5</v>
      </c>
      <c r="E25" s="99">
        <f>SUMIFS(table_data[Revenue],table_data[Sales Channel],E$22,table_data[Product],table_problem4B_salesbychannel[[#This Row],[Product]])</f>
        <v>3708</v>
      </c>
    </row>
    <row r="26" spans="2:5" ht="14.25" outlineLevel="1">
      <c r="B26" s="29" t="s">
        <v>235</v>
      </c>
      <c r="C26" s="99">
        <f>SUMIFS(table_data[Revenue],table_data[Sales Channel],C$22,table_data[Product],table_problem4B_salesbychannel[[#This Row],[Product]])</f>
        <v>1527.5</v>
      </c>
      <c r="D26" s="99">
        <f>SUMIFS(table_data[Revenue],table_data[Sales Channel],D$22,table_data[Product],table_problem4B_salesbychannel[[#This Row],[Product]])</f>
        <v>0</v>
      </c>
      <c r="E26" s="99">
        <f>SUMIFS(table_data[Revenue],table_data[Sales Channel],E$22,table_data[Product],table_problem4B_salesbychannel[[#This Row],[Product]])</f>
        <v>1118</v>
      </c>
    </row>
    <row r="27" spans="2:5" ht="14.25" outlineLevel="1">
      <c r="B27" s="29" t="s">
        <v>231</v>
      </c>
      <c r="C27" s="99">
        <f>SUMIFS(table_data[Revenue],table_data[Sales Channel],C$22,table_data[Product],table_problem4B_salesbychannel[[#This Row],[Product]])</f>
        <v>1272</v>
      </c>
      <c r="D27" s="99">
        <f>SUMIFS(table_data[Revenue],table_data[Sales Channel],D$22,table_data[Product],table_problem4B_salesbychannel[[#This Row],[Product]])</f>
        <v>750</v>
      </c>
      <c r="E27" s="99">
        <f>SUMIFS(table_data[Revenue],table_data[Sales Channel],E$22,table_data[Product],table_problem4B_salesbychannel[[#This Row],[Product]])</f>
        <v>2682</v>
      </c>
    </row>
    <row r="28" spans="2:5" ht="14.25" outlineLevel="1">
      <c r="B28" s="29" t="s">
        <v>230</v>
      </c>
      <c r="C28" s="99">
        <f>SUMIFS(table_data[Revenue],table_data[Sales Channel],C$22,table_data[Product],table_problem4B_salesbychannel[[#This Row],[Product]])</f>
        <v>2424.5</v>
      </c>
      <c r="D28" s="99">
        <f>SUMIFS(table_data[Revenue],table_data[Sales Channel],D$22,table_data[Product],table_problem4B_salesbychannel[[#This Row],[Product]])</f>
        <v>461.5</v>
      </c>
      <c r="E28" s="99">
        <f>SUMIFS(table_data[Revenue],table_data[Sales Channel],E$22,table_data[Product],table_problem4B_salesbychannel[[#This Row],[Product]])</f>
        <v>1963</v>
      </c>
    </row>
    <row r="29" spans="2:5" ht="14.25" outlineLevel="1">
      <c r="B29" s="29" t="s">
        <v>228</v>
      </c>
      <c r="C29" s="99">
        <f>SUMIFS(table_data[Revenue],table_data[Sales Channel],C$22,table_data[Product],table_problem4B_salesbychannel[[#This Row],[Product]])</f>
        <v>11385</v>
      </c>
      <c r="D29" s="99">
        <f>SUMIFS(table_data[Revenue],table_data[Sales Channel],D$22,table_data[Product],table_problem4B_salesbychannel[[#This Row],[Product]])</f>
        <v>0</v>
      </c>
      <c r="E29" s="99">
        <f>SUMIFS(table_data[Revenue],table_data[Sales Channel],E$22,table_data[Product],table_problem4B_salesbychannel[[#This Row],[Product]])</f>
        <v>4500</v>
      </c>
    </row>
    <row r="30" spans="2:5" ht="14.25" outlineLevel="1">
      <c r="B30" s="29" t="s">
        <v>234</v>
      </c>
      <c r="C30" s="99">
        <f>SUMIFS(table_data[Revenue],table_data[Sales Channel],C$22,table_data[Product],table_problem4B_salesbychannel[[#This Row],[Product]])</f>
        <v>382.5</v>
      </c>
      <c r="D30" s="99">
        <f>SUMIFS(table_data[Revenue],table_data[Sales Channel],D$22,table_data[Product],table_problem4B_salesbychannel[[#This Row],[Product]])</f>
        <v>0</v>
      </c>
      <c r="E30" s="99">
        <f>SUMIFS(table_data[Revenue],table_data[Sales Channel],E$22,table_data[Product],table_problem4B_salesbychannel[[#This Row],[Product]])</f>
        <v>2659.5</v>
      </c>
    </row>
    <row r="31" spans="2:5" ht="14.25" outlineLevel="1">
      <c r="B31" s="29" t="s">
        <v>229</v>
      </c>
      <c r="C31" s="99">
        <f>SUMIFS(table_data[Revenue],table_data[Sales Channel],C$22,table_data[Product],table_problem4B_salesbychannel[[#This Row],[Product]])</f>
        <v>3767.6099999999997</v>
      </c>
      <c r="D31" s="99">
        <f>SUMIFS(table_data[Revenue],table_data[Sales Channel],D$22,table_data[Product],table_problem4B_salesbychannel[[#This Row],[Product]])</f>
        <v>594.15</v>
      </c>
      <c r="E31" s="99">
        <f>SUMIFS(table_data[Revenue],table_data[Sales Channel],E$22,table_data[Product],table_problem4B_salesbychannel[[#This Row],[Product]])</f>
        <v>2705.13</v>
      </c>
    </row>
    <row r="32" spans="2:5" ht="14.25" outlineLevel="1">
      <c r="B32" s="29" t="s">
        <v>227</v>
      </c>
      <c r="C32" s="99">
        <f>SUMIFS(table_data[Revenue],table_data[Sales Channel],C$22,table_data[Product],table_problem4B_salesbychannel[[#This Row],[Product]])</f>
        <v>2847.15</v>
      </c>
      <c r="D32" s="99">
        <f>SUMIFS(table_data[Revenue],table_data[Sales Channel],D$22,table_data[Product],table_problem4B_salesbychannel[[#This Row],[Product]])</f>
        <v>1408.59</v>
      </c>
      <c r="E32" s="99">
        <f>SUMIFS(table_data[Revenue],table_data[Sales Channel],E$22,table_data[Product],table_problem4B_salesbychannel[[#This Row],[Product]])</f>
        <v>5054.9399999999996</v>
      </c>
    </row>
    <row r="33" spans="2:9" ht="14.25" outlineLevel="1">
      <c r="B33" s="64" t="s">
        <v>226</v>
      </c>
      <c r="C33" s="100">
        <f>SUMIFS(table_data[Revenue],table_data[Sales Channel],C$22,table_data[Product],table_problem4B_salesbychannel[[#This Row],[Product]])</f>
        <v>8410</v>
      </c>
      <c r="D33" s="100">
        <f>SUMIFS(table_data[Revenue],table_data[Sales Channel],D$22,table_data[Product],table_problem4B_salesbychannel[[#This Row],[Product]])</f>
        <v>5292.5</v>
      </c>
      <c r="E33" s="99">
        <f>SUMIFS(table_data[Revenue],table_data[Sales Channel],E$22,table_data[Product],table_problem4B_salesbychannel[[#This Row],[Product]])</f>
        <v>7235.5</v>
      </c>
      <c r="I33" s="103"/>
    </row>
    <row r="34" spans="2:9" outlineLevel="1"/>
    <row r="37" spans="2:9" ht="18.75">
      <c r="B37" s="5" t="s">
        <v>367</v>
      </c>
    </row>
    <row r="38" spans="2:9" outlineLevel="1"/>
    <row r="39" spans="2:9" ht="18.75" outlineLevel="1">
      <c r="B39" s="22" t="s">
        <v>291</v>
      </c>
    </row>
    <row r="40" spans="2:9" outlineLevel="1"/>
    <row r="41" spans="2:9" ht="15" outlineLevel="1">
      <c r="B41" s="31" t="s">
        <v>237</v>
      </c>
      <c r="C41" s="81" t="s">
        <v>10</v>
      </c>
      <c r="D41" s="37" t="s">
        <v>238</v>
      </c>
    </row>
    <row r="42" spans="2:9" ht="14.25" outlineLevel="1">
      <c r="B42" s="24" t="s">
        <v>236</v>
      </c>
      <c r="C42" s="42" t="s">
        <v>75</v>
      </c>
      <c r="D42" s="101">
        <f>SUMIFS(table_data[Revenue],table_data[Product],B42,table_data[Country],C42)</f>
        <v>189</v>
      </c>
    </row>
    <row r="43" spans="2:9" ht="14.25" outlineLevel="1">
      <c r="B43" s="27" t="s">
        <v>233</v>
      </c>
      <c r="C43" s="42" t="s">
        <v>202</v>
      </c>
      <c r="D43" s="101">
        <f>SUMIFS(table_data[Revenue],table_data[Product],B43,table_data[Country],C43)</f>
        <v>227.43</v>
      </c>
    </row>
    <row r="44" spans="2:9" ht="14.25" outlineLevel="1">
      <c r="B44" s="27" t="s">
        <v>232</v>
      </c>
      <c r="C44" s="42" t="s">
        <v>87</v>
      </c>
      <c r="D44" s="101">
        <f>SUMIFS(table_data[Revenue],table_data[Product],B44,table_data[Country],C44)</f>
        <v>913.5</v>
      </c>
    </row>
    <row r="45" spans="2:9" ht="14.25" outlineLevel="1">
      <c r="B45" s="24" t="s">
        <v>231</v>
      </c>
      <c r="C45" s="42" t="s">
        <v>146</v>
      </c>
      <c r="D45" s="101">
        <f>SUMIFS(table_data[Revenue],table_data[Product],B45,table_data[Country],C45)</f>
        <v>300</v>
      </c>
    </row>
    <row r="46" spans="2:9" ht="14.25" outlineLevel="1">
      <c r="B46" s="24" t="s">
        <v>230</v>
      </c>
      <c r="C46" s="42" t="s">
        <v>189</v>
      </c>
      <c r="D46" s="101">
        <f>SUMIFS(table_data[Revenue],table_data[Product],B46,table_data[Country],C46)</f>
        <v>312</v>
      </c>
    </row>
    <row r="47" spans="2:9" ht="14.25" outlineLevel="1">
      <c r="B47" s="24" t="s">
        <v>228</v>
      </c>
      <c r="C47" s="42" t="s">
        <v>57</v>
      </c>
      <c r="D47" s="101">
        <f>SUMIFS(table_data[Revenue],table_data[Product],B47,table_data[Country],C47)</f>
        <v>1440</v>
      </c>
    </row>
    <row r="48" spans="2:9" ht="14.25" outlineLevel="1">
      <c r="B48" s="24" t="s">
        <v>234</v>
      </c>
      <c r="C48" s="42" t="s">
        <v>106</v>
      </c>
      <c r="D48" s="101">
        <f>SUMIFS(table_data[Revenue],table_data[Product],B48,table_data[Country],C48)</f>
        <v>742.5</v>
      </c>
    </row>
    <row r="49" spans="2:4" ht="14.25" outlineLevel="1">
      <c r="B49" s="24" t="s">
        <v>229</v>
      </c>
      <c r="C49" s="42" t="s">
        <v>189</v>
      </c>
      <c r="D49" s="101">
        <f>SUMIFS(table_data[Revenue],table_data[Product],B49,table_data[Country],C49)</f>
        <v>0</v>
      </c>
    </row>
    <row r="50" spans="2:4" ht="14.25" outlineLevel="1">
      <c r="B50" s="24" t="s">
        <v>227</v>
      </c>
      <c r="C50" s="42" t="s">
        <v>51</v>
      </c>
      <c r="D50" s="101">
        <f>SUMIFS(table_data[Revenue],table_data[Product],B50,table_data[Country],C50)</f>
        <v>1628.3700000000001</v>
      </c>
    </row>
    <row r="51" spans="2:4" ht="14.25" outlineLevel="1">
      <c r="B51" s="30" t="s">
        <v>226</v>
      </c>
      <c r="C51" s="42" t="s">
        <v>29</v>
      </c>
      <c r="D51" s="101">
        <f>SUMIFS(table_data[Revenue],table_data[Product],B51,table_data[Country],C51)</f>
        <v>2436</v>
      </c>
    </row>
    <row r="52" spans="2:4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sumif_answer_3">
                <anchor moveWithCells="1" sizeWithCells="1">
                  <from>
                    <xdr:col>2</xdr:col>
                    <xdr:colOff>1143000</xdr:colOff>
                    <xdr:row>16</xdr:row>
                    <xdr:rowOff>9525</xdr:rowOff>
                  </from>
                  <to>
                    <xdr:col>2</xdr:col>
                    <xdr:colOff>2247900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hisWorkbook.sumif_answer_4">
                <anchor moveWithCells="1" sizeWithCells="1">
                  <from>
                    <xdr:col>2</xdr:col>
                    <xdr:colOff>1323975</xdr:colOff>
                    <xdr:row>35</xdr:row>
                    <xdr:rowOff>76200</xdr:rowOff>
                  </from>
                  <to>
                    <xdr:col>2</xdr:col>
                    <xdr:colOff>2657475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5" tint="0.39997558519241921"/>
  </sheetPr>
  <dimension ref="A1:O69"/>
  <sheetViews>
    <sheetView showGridLines="0" topLeftCell="A30" zoomScale="80" workbookViewId="0">
      <selection activeCell="E44" sqref="E44"/>
    </sheetView>
  </sheetViews>
  <sheetFormatPr defaultColWidth="9.5" defaultRowHeight="12.75" outlineLevelRow="1"/>
  <cols>
    <col min="1" max="1" width="9.5" style="2"/>
    <col min="2" max="2" width="44" style="2" customWidth="1"/>
    <col min="3" max="3" width="52.5" style="2" bestFit="1" customWidth="1"/>
    <col min="4" max="4" width="35.5" style="2" customWidth="1"/>
    <col min="5" max="5" width="31.5" style="2" customWidth="1"/>
    <col min="6" max="16384" width="9.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7</v>
      </c>
    </row>
    <row r="5" spans="1:15">
      <c r="O5" s="6"/>
    </row>
    <row r="7" spans="1:15" ht="18.75">
      <c r="B7" s="5" t="s">
        <v>366</v>
      </c>
    </row>
    <row r="8" spans="1:15" outlineLevel="1"/>
    <row r="9" spans="1:15" ht="18.75" outlineLevel="1">
      <c r="B9" s="22" t="s">
        <v>289</v>
      </c>
      <c r="C9" s="35"/>
    </row>
    <row r="10" spans="1:15" outlineLevel="1">
      <c r="B10" s="36"/>
      <c r="C10" s="35"/>
    </row>
    <row r="11" spans="1:15" ht="15" outlineLevel="1">
      <c r="B11" s="37" t="s">
        <v>12</v>
      </c>
      <c r="C11" s="38" t="s">
        <v>248</v>
      </c>
    </row>
    <row r="12" spans="1:15" ht="14.25" outlineLevel="1">
      <c r="B12" s="29" t="s">
        <v>21</v>
      </c>
      <c r="C12" s="45">
        <f>SUMIFS('Data Set'!$L$7:$L$114,'Data Set'!$G$7:$G$114,$B12,'Data Set'!$J$7:$J$114,"&gt;100")</f>
        <v>27479.010000000002</v>
      </c>
    </row>
    <row r="13" spans="1:15" ht="14.25" outlineLevel="1">
      <c r="B13" s="29" t="s">
        <v>24</v>
      </c>
      <c r="C13" s="45">
        <f>SUMIFS('Data Set'!$L$7:$L$114,'Data Set'!$G$7:$G$114,$B13,'Data Set'!$J$7:$J$114,"&gt;100")</f>
        <v>9246.59</v>
      </c>
    </row>
    <row r="14" spans="1:15" ht="14.25" outlineLevel="1">
      <c r="B14" s="29" t="s">
        <v>27</v>
      </c>
      <c r="C14" s="45">
        <f>SUMIFS('Data Set'!$L$7:$L$114,'Data Set'!$G$7:$G$114,$B14,'Data Set'!$J$7:$J$114,"&gt;100")</f>
        <v>28397.89</v>
      </c>
    </row>
    <row r="15" spans="1:15" outlineLevel="1"/>
    <row r="16" spans="1:15" outlineLevel="1"/>
    <row r="17" spans="2:5" outlineLevel="1"/>
    <row r="18" spans="2:5" ht="18.75" outlineLevel="1">
      <c r="B18" s="5"/>
    </row>
    <row r="19" spans="2:5" outlineLevel="1"/>
    <row r="20" spans="2:5" ht="18.75" outlineLevel="1">
      <c r="B20" s="22" t="s">
        <v>290</v>
      </c>
    </row>
    <row r="21" spans="2:5" outlineLevel="1"/>
    <row r="22" spans="2:5" ht="15" outlineLevel="1">
      <c r="B22" s="37" t="s">
        <v>237</v>
      </c>
      <c r="C22" s="109" t="s">
        <v>21</v>
      </c>
      <c r="D22" s="108" t="s">
        <v>24</v>
      </c>
      <c r="E22" s="106" t="s">
        <v>27</v>
      </c>
    </row>
    <row r="23" spans="2:5" ht="14.25" outlineLevel="1">
      <c r="B23" s="29" t="s">
        <v>236</v>
      </c>
      <c r="C23" s="110">
        <f>SUMIFS('Data Set'!$L$7:$L$114,'Data Set'!$F$7:$F$114,$B23,'Data Set'!$G$7:$G$114,C$22)</f>
        <v>1749</v>
      </c>
      <c r="D23" s="112">
        <f>SUMIFS('Data Set'!$L$7:$L$114,'Data Set'!$F$7:$F$114,$B23,'Data Set'!$G$7:$G$114,D$22)</f>
        <v>0</v>
      </c>
      <c r="E23" s="104">
        <f>SUMIFS('Data Set'!$L$7:$L$114,'Data Set'!$F$7:$F$114,$B23,'Data Set'!$G$7:$G$114,E$22)</f>
        <v>1275</v>
      </c>
    </row>
    <row r="24" spans="2:5" ht="14.25">
      <c r="B24" s="29" t="s">
        <v>233</v>
      </c>
      <c r="C24" s="110">
        <f>SUMIFS('Data Set'!$L$7:$L$114,'Data Set'!$F$7:$F$114,$B24,'Data Set'!$G$7:$G$114,C$22)</f>
        <v>3487.2599999999998</v>
      </c>
      <c r="D24" s="110">
        <f>SUMIFS('Data Set'!$L$7:$L$114,'Data Set'!$F$7:$F$114,$B24,'Data Set'!$G$7:$G$114,D$22)</f>
        <v>0</v>
      </c>
      <c r="E24" s="104">
        <f>SUMIFS('Data Set'!$L$7:$L$114,'Data Set'!$F$7:$F$114,$B24,'Data Set'!$G$7:$G$114,E$22)</f>
        <v>1484.2800000000002</v>
      </c>
    </row>
    <row r="25" spans="2:5" ht="14.25" outlineLevel="1">
      <c r="B25" s="29" t="s">
        <v>232</v>
      </c>
      <c r="C25" s="110">
        <f>SUMIFS('Data Set'!$L$7:$L$114,'Data Set'!$F$7:$F$114,$B25,'Data Set'!$G$7:$G$114,C$22)</f>
        <v>549</v>
      </c>
      <c r="D25" s="110">
        <f>SUMIFS('Data Set'!$L$7:$L$114,'Data Set'!$F$7:$F$114,$B25,'Data Set'!$G$7:$G$114,D$22)</f>
        <v>1849.5</v>
      </c>
      <c r="E25" s="104">
        <f>SUMIFS('Data Set'!$L$7:$L$114,'Data Set'!$F$7:$F$114,$B25,'Data Set'!$G$7:$G$114,E$22)</f>
        <v>3708</v>
      </c>
    </row>
    <row r="26" spans="2:5" ht="14.25" outlineLevel="1">
      <c r="B26" s="29" t="s">
        <v>235</v>
      </c>
      <c r="C26" s="110">
        <f>SUMIFS('Data Set'!$L$7:$L$114,'Data Set'!$F$7:$F$114,$B26,'Data Set'!$G$7:$G$114,C$22)</f>
        <v>1527.5</v>
      </c>
      <c r="D26" s="110">
        <f>SUMIFS('Data Set'!$L$7:$L$114,'Data Set'!$F$7:$F$114,$B26,'Data Set'!$G$7:$G$114,D$22)</f>
        <v>0</v>
      </c>
      <c r="E26" s="104">
        <f>SUMIFS('Data Set'!$L$7:$L$114,'Data Set'!$F$7:$F$114,$B26,'Data Set'!$G$7:$G$114,E$22)</f>
        <v>1118</v>
      </c>
    </row>
    <row r="27" spans="2:5" ht="14.25" outlineLevel="1">
      <c r="B27" s="29" t="s">
        <v>231</v>
      </c>
      <c r="C27" s="110">
        <f>SUMIFS('Data Set'!$L$7:$L$114,'Data Set'!$F$7:$F$114,$B27,'Data Set'!$G$7:$G$114,C$22)</f>
        <v>1272</v>
      </c>
      <c r="D27" s="110">
        <f>SUMIFS('Data Set'!$L$7:$L$114,'Data Set'!$F$7:$F$114,$B27,'Data Set'!$G$7:$G$114,D$22)</f>
        <v>750</v>
      </c>
      <c r="E27" s="104">
        <f>SUMIFS('Data Set'!$L$7:$L$114,'Data Set'!$F$7:$F$114,$B27,'Data Set'!$G$7:$G$114,E$22)</f>
        <v>2682</v>
      </c>
    </row>
    <row r="28" spans="2:5" ht="14.25" outlineLevel="1">
      <c r="B28" s="29" t="s">
        <v>230</v>
      </c>
      <c r="C28" s="110">
        <f>SUMIFS('Data Set'!$L$7:$L$114,'Data Set'!$F$7:$F$114,$B28,'Data Set'!$G$7:$G$114,C$22)</f>
        <v>2424.5</v>
      </c>
      <c r="D28" s="110">
        <f>SUMIFS('Data Set'!$L$7:$L$114,'Data Set'!$F$7:$F$114,$B28,'Data Set'!$G$7:$G$114,D$22)</f>
        <v>461.5</v>
      </c>
      <c r="E28" s="104">
        <f>SUMIFS('Data Set'!$L$7:$L$114,'Data Set'!$F$7:$F$114,$B28,'Data Set'!$G$7:$G$114,E$22)</f>
        <v>1963</v>
      </c>
    </row>
    <row r="29" spans="2:5" ht="14.25" outlineLevel="1">
      <c r="B29" s="29" t="s">
        <v>228</v>
      </c>
      <c r="C29" s="110">
        <f>SUMIFS('Data Set'!$L$7:$L$114,'Data Set'!$F$7:$F$114,$B29,'Data Set'!$G$7:$G$114,C$22)</f>
        <v>11385</v>
      </c>
      <c r="D29" s="110">
        <f>SUMIFS('Data Set'!$L$7:$L$114,'Data Set'!$F$7:$F$114,$B29,'Data Set'!$G$7:$G$114,D$22)</f>
        <v>0</v>
      </c>
      <c r="E29" s="104">
        <f>SUMIFS('Data Set'!$L$7:$L$114,'Data Set'!$F$7:$F$114,$B29,'Data Set'!$G$7:$G$114,E$22)</f>
        <v>4500</v>
      </c>
    </row>
    <row r="30" spans="2:5" ht="14.25" outlineLevel="1">
      <c r="B30" s="29" t="s">
        <v>234</v>
      </c>
      <c r="C30" s="110">
        <f>SUMIFS('Data Set'!$L$7:$L$114,'Data Set'!$F$7:$F$114,$B30,'Data Set'!$G$7:$G$114,C$22)</f>
        <v>382.5</v>
      </c>
      <c r="D30" s="110">
        <f>SUMIFS('Data Set'!$L$7:$L$114,'Data Set'!$F$7:$F$114,$B30,'Data Set'!$G$7:$G$114,D$22)</f>
        <v>0</v>
      </c>
      <c r="E30" s="104">
        <f>SUMIFS('Data Set'!$L$7:$L$114,'Data Set'!$F$7:$F$114,$B30,'Data Set'!$G$7:$G$114,E$22)</f>
        <v>2659.5</v>
      </c>
    </row>
    <row r="31" spans="2:5" ht="14.25" outlineLevel="1">
      <c r="B31" s="29" t="s">
        <v>229</v>
      </c>
      <c r="C31" s="110">
        <f>SUMIFS('Data Set'!$L$7:$L$114,'Data Set'!$F$7:$F$114,$B31,'Data Set'!$G$7:$G$114,C$22)</f>
        <v>3767.6099999999997</v>
      </c>
      <c r="D31" s="110">
        <f>SUMIFS('Data Set'!$L$7:$L$114,'Data Set'!$F$7:$F$114,$B31,'Data Set'!$G$7:$G$114,D$22)</f>
        <v>594.15</v>
      </c>
      <c r="E31" s="104">
        <f>SUMIFS('Data Set'!$L$7:$L$114,'Data Set'!$F$7:$F$114,$B31,'Data Set'!$G$7:$G$114,E$22)</f>
        <v>2705.13</v>
      </c>
    </row>
    <row r="32" spans="2:5" ht="14.25" outlineLevel="1">
      <c r="B32" s="29" t="s">
        <v>227</v>
      </c>
      <c r="C32" s="111">
        <f>SUMIFS('Data Set'!$L$7:$L$114,'Data Set'!$F$7:$F$114,$B32,'Data Set'!$G$7:$G$114,C$22)</f>
        <v>2847.15</v>
      </c>
      <c r="D32" s="111">
        <f>SUMIFS('Data Set'!$L$7:$L$114,'Data Set'!$F$7:$F$114,$B32,'Data Set'!$G$7:$G$114,D$22)</f>
        <v>1408.59</v>
      </c>
      <c r="E32" s="107">
        <f>SUMIFS('Data Set'!$L$7:$L$114,'Data Set'!$F$7:$F$114,$B32,'Data Set'!$G$7:$G$114,E$22)</f>
        <v>5054.9399999999996</v>
      </c>
    </row>
    <row r="33" spans="2:5" ht="14.25" outlineLevel="1">
      <c r="B33" s="29" t="s">
        <v>226</v>
      </c>
      <c r="C33" s="111">
        <f>SUMIFS('Data Set'!$L$7:$L$114,'Data Set'!$F$7:$F$114,$B33,'Data Set'!$G$7:$G$114,C$22)</f>
        <v>8410</v>
      </c>
      <c r="D33" s="111">
        <f>SUMIFS('Data Set'!$L$7:$L$114,'Data Set'!$F$7:$F$114,$B33,'Data Set'!$G$7:$G$114,D$22)</f>
        <v>5292.5</v>
      </c>
      <c r="E33" s="107">
        <f>SUMIFS('Data Set'!$L$7:$L$114,'Data Set'!$F$7:$F$114,$B33,'Data Set'!$G$7:$G$114,E$22)</f>
        <v>7235.5</v>
      </c>
    </row>
    <row r="34" spans="2:5" outlineLevel="1"/>
    <row r="35" spans="2:5" outlineLevel="1"/>
    <row r="36" spans="2:5" outlineLevel="1"/>
    <row r="37" spans="2:5" ht="18.75" outlineLevel="1">
      <c r="B37" s="5" t="s">
        <v>367</v>
      </c>
    </row>
    <row r="38" spans="2:5" outlineLevel="1"/>
    <row r="39" spans="2:5" ht="18.75" outlineLevel="1">
      <c r="B39" s="22" t="s">
        <v>291</v>
      </c>
    </row>
    <row r="40" spans="2:5" outlineLevel="1"/>
    <row r="41" spans="2:5" ht="15" outlineLevel="1">
      <c r="B41" s="23" t="s">
        <v>237</v>
      </c>
      <c r="C41" s="41" t="s">
        <v>10</v>
      </c>
      <c r="D41" s="38" t="s">
        <v>238</v>
      </c>
    </row>
    <row r="42" spans="2:5" ht="14.25" outlineLevel="1">
      <c r="B42" s="24" t="s">
        <v>236</v>
      </c>
      <c r="C42" s="42" t="s">
        <v>75</v>
      </c>
      <c r="D42" s="46">
        <f>SUMIFS('Data Set'!$L$7:$L$114,'Data Set'!$F$7:$F$114,$B42,'Data Set'!$D$7:$D$114,$C42)</f>
        <v>189</v>
      </c>
    </row>
    <row r="43" spans="2:5" ht="14.25" outlineLevel="1">
      <c r="B43" s="27" t="s">
        <v>233</v>
      </c>
      <c r="C43" s="42" t="s">
        <v>202</v>
      </c>
      <c r="D43" s="46">
        <f>SUMIFS('Data Set'!$L$7:$L$114,'Data Set'!$F$7:$F$114,$B43,'Data Set'!$D$7:$D$114,$C43)</f>
        <v>227.43</v>
      </c>
    </row>
    <row r="44" spans="2:5" ht="14.25" outlineLevel="1">
      <c r="B44" s="27" t="s">
        <v>232</v>
      </c>
      <c r="C44" s="42" t="s">
        <v>87</v>
      </c>
      <c r="D44" s="46">
        <f>SUMIFS('Data Set'!$L$7:$L$114,'Data Set'!$F$7:$F$114,$B44,'Data Set'!$D$7:$D$114,$C44)</f>
        <v>913.5</v>
      </c>
    </row>
    <row r="45" spans="2:5" ht="14.25">
      <c r="B45" s="24" t="s">
        <v>231</v>
      </c>
      <c r="C45" s="42" t="s">
        <v>146</v>
      </c>
      <c r="D45" s="46">
        <f>SUMIFS('Data Set'!$L$7:$L$114,'Data Set'!$F$7:$F$114,$B45,'Data Set'!$D$7:$D$114,$C45)</f>
        <v>300</v>
      </c>
    </row>
    <row r="46" spans="2:5" ht="14.25" outlineLevel="1">
      <c r="B46" s="24" t="s">
        <v>230</v>
      </c>
      <c r="C46" s="42" t="s">
        <v>189</v>
      </c>
      <c r="D46" s="46">
        <f>SUMIFS('Data Set'!$L$7:$L$114,'Data Set'!$F$7:$F$114,$B46,'Data Set'!$D$7:$D$114,$C46)</f>
        <v>312</v>
      </c>
    </row>
    <row r="47" spans="2:5" ht="14.25" outlineLevel="1">
      <c r="B47" s="24" t="s">
        <v>228</v>
      </c>
      <c r="C47" s="42" t="s">
        <v>57</v>
      </c>
      <c r="D47" s="46">
        <f>SUMIFS('Data Set'!$L$7:$L$114,'Data Set'!$F$7:$F$114,$B47,'Data Set'!$D$7:$D$114,$C47)</f>
        <v>1440</v>
      </c>
    </row>
    <row r="48" spans="2:5" ht="14.25" outlineLevel="1">
      <c r="B48" s="24" t="s">
        <v>234</v>
      </c>
      <c r="C48" s="42" t="s">
        <v>106</v>
      </c>
      <c r="D48" s="46">
        <f>SUMIFS('Data Set'!$L$7:$L$114,'Data Set'!$F$7:$F$114,$B48,'Data Set'!$D$7:$D$114,$C48)</f>
        <v>742.5</v>
      </c>
    </row>
    <row r="49" spans="2:4" ht="14.25" outlineLevel="1">
      <c r="B49" s="24" t="s">
        <v>229</v>
      </c>
      <c r="C49" s="42" t="s">
        <v>189</v>
      </c>
      <c r="D49" s="46">
        <f>SUMIFS('Data Set'!$L$7:$L$114,'Data Set'!$F$7:$F$114,$B49,'Data Set'!$D$7:$D$114,$C49)</f>
        <v>0</v>
      </c>
    </row>
    <row r="50" spans="2:4" ht="14.25" outlineLevel="1">
      <c r="B50" s="24" t="s">
        <v>227</v>
      </c>
      <c r="C50" s="42" t="s">
        <v>51</v>
      </c>
      <c r="D50" s="46">
        <f>SUMIFS('Data Set'!$L$7:$L$114,'Data Set'!$F$7:$F$114,$B50,'Data Set'!$D$7:$D$114,$C50)</f>
        <v>1628.3700000000001</v>
      </c>
    </row>
    <row r="51" spans="2:4" ht="14.25" outlineLevel="1">
      <c r="B51" s="30" t="s">
        <v>226</v>
      </c>
      <c r="C51" s="42" t="s">
        <v>29</v>
      </c>
      <c r="D51" s="46">
        <f>SUMIFS('Data Set'!$L$7:$L$114,'Data Set'!$F$7:$F$114,$B51,'Data Set'!$D$7:$D$114,$C51)</f>
        <v>2436</v>
      </c>
    </row>
    <row r="52" spans="2:4" outlineLevel="1"/>
    <row r="53" spans="2:4" outlineLevel="1"/>
    <row r="54" spans="2:4" outlineLevel="1"/>
    <row r="55" spans="2:4" outlineLevel="1"/>
    <row r="56" spans="2:4" outlineLevel="1"/>
    <row r="57" spans="2:4" outlineLevel="1"/>
    <row r="58" spans="2:4" outlineLevel="1"/>
    <row r="59" spans="2:4" outlineLevel="1"/>
    <row r="60" spans="2:4" outlineLevel="1"/>
    <row r="61" spans="2:4" outlineLevel="1"/>
    <row r="62" spans="2:4" outlineLevel="1"/>
    <row r="63" spans="2:4" outlineLevel="1"/>
    <row r="64" spans="2:4" outlineLevel="1"/>
    <row r="65" outlineLevel="1"/>
    <row r="66" outlineLevel="1"/>
    <row r="67" outlineLevel="1"/>
    <row r="68" outlineLevel="1"/>
    <row r="69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sumif_problem_3">
                <anchor moveWithCells="1" sizeWithCells="1">
                  <from>
                    <xdr:col>2</xdr:col>
                    <xdr:colOff>2705100</xdr:colOff>
                    <xdr:row>17</xdr:row>
                    <xdr:rowOff>38100</xdr:rowOff>
                  </from>
                  <to>
                    <xdr:col>3</xdr:col>
                    <xdr:colOff>1590675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hisWorkbook.sumif_problem_4">
                <anchor moveWithCells="1" sizeWithCells="1">
                  <from>
                    <xdr:col>4</xdr:col>
                    <xdr:colOff>190500</xdr:colOff>
                    <xdr:row>42</xdr:row>
                    <xdr:rowOff>123825</xdr:rowOff>
                  </from>
                  <to>
                    <xdr:col>4</xdr:col>
                    <xdr:colOff>1752600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G67"/>
  <sheetViews>
    <sheetView showGridLines="0" topLeftCell="A14" zoomScale="80" workbookViewId="0">
      <selection activeCell="I30" sqref="I30"/>
    </sheetView>
  </sheetViews>
  <sheetFormatPr defaultColWidth="9.5" defaultRowHeight="12.75" outlineLevelRow="1"/>
  <cols>
    <col min="1" max="1" width="9.5" style="2"/>
    <col min="2" max="2" width="37" style="2" customWidth="1"/>
    <col min="3" max="3" width="34" style="2" bestFit="1" customWidth="1"/>
    <col min="4" max="4" width="11" style="2" customWidth="1"/>
    <col min="5" max="5" width="17.83203125" style="2" customWidth="1"/>
    <col min="6" max="7" width="16.5" style="2" customWidth="1"/>
    <col min="8" max="16384" width="9.5" style="2"/>
  </cols>
  <sheetData>
    <row r="1" spans="1:7">
      <c r="A1" s="3" t="str">
        <f>Introduction!A1</f>
        <v>Problem Solving with Excel</v>
      </c>
    </row>
    <row r="2" spans="1:7">
      <c r="A2" s="3" t="str">
        <f>Introduction!A2</f>
        <v>Week 3</v>
      </c>
    </row>
    <row r="3" spans="1:7">
      <c r="A3" s="3" t="str">
        <f>Introduction!A3</f>
        <v>Logical Functions</v>
      </c>
    </row>
    <row r="4" spans="1:7">
      <c r="A4" s="3" t="s">
        <v>323</v>
      </c>
    </row>
    <row r="5" spans="1:7" ht="13.5" customHeight="1"/>
    <row r="7" spans="1:7" ht="18.75">
      <c r="B7" s="5" t="s">
        <v>349</v>
      </c>
    </row>
    <row r="8" spans="1:7" outlineLevel="1"/>
    <row r="9" spans="1:7" ht="18.75" outlineLevel="1">
      <c r="B9" s="22" t="s">
        <v>374</v>
      </c>
    </row>
    <row r="10" spans="1:7" outlineLevel="1"/>
    <row r="11" spans="1:7" ht="15" outlineLevel="1">
      <c r="B11" s="52" t="s">
        <v>258</v>
      </c>
      <c r="C11" s="53">
        <v>450</v>
      </c>
    </row>
    <row r="12" spans="1:7" ht="13.5" outlineLevel="1" thickBot="1"/>
    <row r="13" spans="1:7" ht="15.75" outlineLevel="1" thickBot="1">
      <c r="B13" s="54" t="s">
        <v>259</v>
      </c>
      <c r="C13" s="54" t="s">
        <v>237</v>
      </c>
      <c r="D13" s="54" t="s">
        <v>260</v>
      </c>
      <c r="E13" s="54" t="s">
        <v>16</v>
      </c>
      <c r="F13" s="54" t="s">
        <v>17</v>
      </c>
      <c r="G13" s="67" t="s">
        <v>261</v>
      </c>
    </row>
    <row r="14" spans="1:7" outlineLevel="1">
      <c r="B14" s="56" t="s">
        <v>262</v>
      </c>
      <c r="C14" s="56" t="s">
        <v>227</v>
      </c>
      <c r="D14" s="56">
        <v>100</v>
      </c>
      <c r="E14" s="57">
        <v>4.5</v>
      </c>
      <c r="F14" s="58">
        <v>450</v>
      </c>
      <c r="G14" s="89" t="str">
        <f>IF(F14&gt;=$C$11,"yes","no")</f>
        <v>yes</v>
      </c>
    </row>
    <row r="15" spans="1:7" outlineLevel="1">
      <c r="B15" s="56" t="s">
        <v>263</v>
      </c>
      <c r="C15" s="56" t="s">
        <v>230</v>
      </c>
      <c r="D15" s="56">
        <v>75</v>
      </c>
      <c r="E15" s="57">
        <v>13</v>
      </c>
      <c r="F15" s="58">
        <v>975</v>
      </c>
      <c r="G15" s="89" t="str">
        <f t="shared" ref="G14:G18" si="0">IF(F15&gt;=$C$11,"yes","no")</f>
        <v>yes</v>
      </c>
    </row>
    <row r="16" spans="1:7" outlineLevel="1">
      <c r="B16" s="56" t="s">
        <v>264</v>
      </c>
      <c r="C16" s="56" t="s">
        <v>226</v>
      </c>
      <c r="D16" s="56">
        <v>13</v>
      </c>
      <c r="E16" s="57">
        <v>25</v>
      </c>
      <c r="F16" s="58">
        <v>325</v>
      </c>
      <c r="G16" s="89" t="str">
        <f t="shared" si="0"/>
        <v>no</v>
      </c>
    </row>
    <row r="17" spans="2:7" outlineLevel="1">
      <c r="B17" s="56" t="s">
        <v>265</v>
      </c>
      <c r="C17" s="56" t="s">
        <v>228</v>
      </c>
      <c r="D17" s="56">
        <v>200</v>
      </c>
      <c r="E17" s="57">
        <v>0.75</v>
      </c>
      <c r="F17" s="58">
        <v>150</v>
      </c>
      <c r="G17" s="89" t="str">
        <f t="shared" si="0"/>
        <v>no</v>
      </c>
    </row>
    <row r="18" spans="2:7" outlineLevel="1">
      <c r="B18" s="68" t="s">
        <v>266</v>
      </c>
      <c r="C18" s="68" t="s">
        <v>232</v>
      </c>
      <c r="D18" s="68">
        <v>11</v>
      </c>
      <c r="E18" s="69">
        <v>55</v>
      </c>
      <c r="F18" s="70">
        <v>605</v>
      </c>
      <c r="G18" s="90" t="str">
        <f t="shared" si="0"/>
        <v>yes</v>
      </c>
    </row>
    <row r="19" spans="2:7" outlineLevel="1"/>
    <row r="20" spans="2:7" outlineLevel="1"/>
    <row r="21" spans="2:7" outlineLevel="1"/>
    <row r="22" spans="2:7" ht="18.75">
      <c r="B22" s="5" t="s">
        <v>350</v>
      </c>
    </row>
    <row r="23" spans="2:7" outlineLevel="1"/>
    <row r="24" spans="2:7" ht="18.75" outlineLevel="1">
      <c r="B24" s="22" t="s">
        <v>292</v>
      </c>
    </row>
    <row r="25" spans="2:7" ht="13.5" outlineLevel="1" thickBot="1"/>
    <row r="26" spans="2:7" ht="15.75" outlineLevel="1" thickBot="1">
      <c r="B26" s="54" t="s">
        <v>259</v>
      </c>
      <c r="C26" s="54" t="s">
        <v>237</v>
      </c>
      <c r="D26" s="54" t="s">
        <v>260</v>
      </c>
      <c r="E26" s="54" t="s">
        <v>16</v>
      </c>
      <c r="F26" s="54" t="s">
        <v>17</v>
      </c>
      <c r="G26" s="67" t="s">
        <v>261</v>
      </c>
    </row>
    <row r="27" spans="2:7" outlineLevel="1">
      <c r="B27" s="56" t="s">
        <v>262</v>
      </c>
      <c r="C27" s="56" t="s">
        <v>227</v>
      </c>
      <c r="D27" s="56">
        <v>100</v>
      </c>
      <c r="E27" s="57">
        <v>4.5</v>
      </c>
      <c r="F27" s="58">
        <v>450</v>
      </c>
      <c r="G27" s="89">
        <f t="shared" ref="G27:G31" si="1">IF(F27&gt;=$C$11,D27,"target not met")</f>
        <v>100</v>
      </c>
    </row>
    <row r="28" spans="2:7" outlineLevel="1">
      <c r="B28" s="56" t="s">
        <v>263</v>
      </c>
      <c r="C28" s="56" t="s">
        <v>230</v>
      </c>
      <c r="D28" s="56">
        <v>75</v>
      </c>
      <c r="E28" s="57">
        <v>13</v>
      </c>
      <c r="F28" s="58">
        <v>975</v>
      </c>
      <c r="G28" s="91">
        <f t="shared" si="1"/>
        <v>75</v>
      </c>
    </row>
    <row r="29" spans="2:7" outlineLevel="1">
      <c r="B29" s="56" t="s">
        <v>264</v>
      </c>
      <c r="C29" s="56" t="s">
        <v>226</v>
      </c>
      <c r="D29" s="56">
        <v>13</v>
      </c>
      <c r="E29" s="57">
        <v>25</v>
      </c>
      <c r="F29" s="58">
        <v>325</v>
      </c>
      <c r="G29" s="91" t="str">
        <f t="shared" si="1"/>
        <v>target not met</v>
      </c>
    </row>
    <row r="30" spans="2:7" outlineLevel="1">
      <c r="B30" s="56" t="s">
        <v>265</v>
      </c>
      <c r="C30" s="56" t="s">
        <v>228</v>
      </c>
      <c r="D30" s="56">
        <v>200</v>
      </c>
      <c r="E30" s="57">
        <v>0.75</v>
      </c>
      <c r="F30" s="58">
        <v>150</v>
      </c>
      <c r="G30" s="91" t="str">
        <f t="shared" si="1"/>
        <v>target not met</v>
      </c>
    </row>
    <row r="31" spans="2:7" ht="13.5" outlineLevel="1" thickBot="1">
      <c r="B31" s="56" t="s">
        <v>266</v>
      </c>
      <c r="C31" s="56" t="s">
        <v>232</v>
      </c>
      <c r="D31" s="56">
        <v>11</v>
      </c>
      <c r="E31" s="57">
        <v>55</v>
      </c>
      <c r="F31" s="58">
        <v>605</v>
      </c>
      <c r="G31" s="92">
        <f t="shared" si="1"/>
        <v>11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75">
      <c r="B42" s="5"/>
    </row>
    <row r="43" spans="2:2" hidden="1" outlineLevel="1"/>
    <row r="44" spans="2:2" hidden="1" outlineLevel="1"/>
    <row r="45" spans="2:2" hidden="1" outlineLevel="1"/>
    <row r="46" spans="2:2" hidden="1" outlineLevel="1"/>
    <row r="47" spans="2:2" hidden="1" outlineLevel="1"/>
    <row r="48" spans="2:2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75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hisWorkbook.if_answer_1">
                <anchor moveWithCells="1" sizeWithCells="1">
                  <from>
                    <xdr:col>2</xdr:col>
                    <xdr:colOff>1676400</xdr:colOff>
                    <xdr:row>19</xdr:row>
                    <xdr:rowOff>66675</xdr:rowOff>
                  </from>
                  <to>
                    <xdr:col>4</xdr:col>
                    <xdr:colOff>428625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ThisWorkbook.if_answer_2">
                <anchor moveWithCells="1" sizeWithCells="1">
                  <from>
                    <xdr:col>7</xdr:col>
                    <xdr:colOff>219075</xdr:colOff>
                    <xdr:row>27</xdr:row>
                    <xdr:rowOff>123825</xdr:rowOff>
                  </from>
                  <to>
                    <xdr:col>9</xdr:col>
                    <xdr:colOff>485775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5" tint="0.39997558519241921"/>
  </sheetPr>
  <dimension ref="A1:P65"/>
  <sheetViews>
    <sheetView showGridLines="0" topLeftCell="A9" zoomScale="80" workbookViewId="0">
      <selection activeCell="I30" sqref="I30"/>
    </sheetView>
  </sheetViews>
  <sheetFormatPr defaultColWidth="9.5" defaultRowHeight="12.75" outlineLevelRow="1"/>
  <cols>
    <col min="1" max="1" width="9.5" style="2"/>
    <col min="2" max="3" width="34" style="2" bestFit="1" customWidth="1"/>
    <col min="4" max="4" width="8" style="2" customWidth="1"/>
    <col min="5" max="5" width="14.5" style="2" bestFit="1" customWidth="1"/>
    <col min="6" max="6" width="13.83203125" style="2" bestFit="1" customWidth="1"/>
    <col min="7" max="7" width="13" style="2" bestFit="1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355</v>
      </c>
    </row>
    <row r="5" spans="1:16">
      <c r="P5" s="6"/>
    </row>
    <row r="7" spans="1:16" ht="18.75">
      <c r="B7" s="5" t="s">
        <v>349</v>
      </c>
    </row>
    <row r="8" spans="1:16" outlineLevel="1"/>
    <row r="9" spans="1:16" ht="18.75" outlineLevel="1">
      <c r="B9" s="22" t="s">
        <v>337</v>
      </c>
    </row>
    <row r="10" spans="1:16" outlineLevel="1"/>
    <row r="11" spans="1:16" ht="15" outlineLevel="1">
      <c r="B11" s="52" t="s">
        <v>258</v>
      </c>
      <c r="C11" s="53">
        <v>450</v>
      </c>
    </row>
    <row r="12" spans="1:16" ht="13.5" outlineLevel="1" thickBot="1"/>
    <row r="13" spans="1:16" ht="15.75" outlineLevel="1" thickBot="1">
      <c r="B13" s="54" t="s">
        <v>259</v>
      </c>
      <c r="C13" s="54" t="s">
        <v>237</v>
      </c>
      <c r="D13" s="54" t="s">
        <v>260</v>
      </c>
      <c r="E13" s="54" t="s">
        <v>16</v>
      </c>
      <c r="F13" s="54" t="s">
        <v>17</v>
      </c>
      <c r="G13" s="55" t="s">
        <v>261</v>
      </c>
    </row>
    <row r="14" spans="1:16" outlineLevel="1">
      <c r="B14" s="56" t="s">
        <v>262</v>
      </c>
      <c r="C14" s="56" t="s">
        <v>227</v>
      </c>
      <c r="D14" s="56">
        <v>100</v>
      </c>
      <c r="E14" s="57">
        <v>4.5</v>
      </c>
      <c r="F14" s="58">
        <v>450</v>
      </c>
      <c r="G14" s="59" t="str">
        <f>IF(F14&gt;=$C$11,"Yes","No")</f>
        <v>Yes</v>
      </c>
    </row>
    <row r="15" spans="1:16" outlineLevel="1">
      <c r="B15" s="56" t="s">
        <v>263</v>
      </c>
      <c r="C15" s="56" t="s">
        <v>230</v>
      </c>
      <c r="D15" s="56">
        <v>75</v>
      </c>
      <c r="E15" s="57">
        <v>13</v>
      </c>
      <c r="F15" s="58">
        <v>975</v>
      </c>
      <c r="G15" s="59" t="str">
        <f t="shared" ref="G15:G18" si="0">IF(F15&gt;=$C$11,"Yes","No")</f>
        <v>Yes</v>
      </c>
    </row>
    <row r="16" spans="1:16" outlineLevel="1">
      <c r="B16" s="56" t="s">
        <v>264</v>
      </c>
      <c r="C16" s="56" t="s">
        <v>226</v>
      </c>
      <c r="D16" s="56">
        <v>13</v>
      </c>
      <c r="E16" s="57">
        <v>25</v>
      </c>
      <c r="F16" s="58">
        <v>325</v>
      </c>
      <c r="G16" s="59" t="str">
        <f t="shared" si="0"/>
        <v>No</v>
      </c>
    </row>
    <row r="17" spans="2:7" outlineLevel="1">
      <c r="B17" s="56" t="s">
        <v>265</v>
      </c>
      <c r="C17" s="56" t="s">
        <v>228</v>
      </c>
      <c r="D17" s="56">
        <v>200</v>
      </c>
      <c r="E17" s="57">
        <v>0.75</v>
      </c>
      <c r="F17" s="58">
        <v>150</v>
      </c>
      <c r="G17" s="59" t="str">
        <f t="shared" si="0"/>
        <v>No</v>
      </c>
    </row>
    <row r="18" spans="2:7" outlineLevel="1">
      <c r="B18" s="56" t="s">
        <v>266</v>
      </c>
      <c r="C18" s="56" t="s">
        <v>232</v>
      </c>
      <c r="D18" s="56">
        <v>11</v>
      </c>
      <c r="E18" s="57">
        <v>55</v>
      </c>
      <c r="F18" s="58">
        <v>605</v>
      </c>
      <c r="G18" s="59" t="str">
        <f t="shared" si="0"/>
        <v>Yes</v>
      </c>
    </row>
    <row r="19" spans="2:7" outlineLevel="1"/>
    <row r="20" spans="2:7" outlineLevel="1"/>
    <row r="21" spans="2:7" outlineLevel="1"/>
    <row r="22" spans="2:7" ht="18.75">
      <c r="B22" s="5" t="s">
        <v>350</v>
      </c>
    </row>
    <row r="23" spans="2:7" outlineLevel="1"/>
    <row r="24" spans="2:7" ht="18.75" outlineLevel="1">
      <c r="B24" s="22" t="s">
        <v>292</v>
      </c>
    </row>
    <row r="25" spans="2:7" ht="13.5" outlineLevel="1" thickBot="1"/>
    <row r="26" spans="2:7" ht="15.75" outlineLevel="1" thickBot="1">
      <c r="B26" s="54" t="s">
        <v>259</v>
      </c>
      <c r="C26" s="54" t="s">
        <v>237</v>
      </c>
      <c r="D26" s="54" t="s">
        <v>260</v>
      </c>
      <c r="E26" s="54" t="s">
        <v>16</v>
      </c>
      <c r="F26" s="54" t="s">
        <v>17</v>
      </c>
      <c r="G26" s="55" t="s">
        <v>261</v>
      </c>
    </row>
    <row r="27" spans="2:7" outlineLevel="1">
      <c r="B27" s="56" t="s">
        <v>262</v>
      </c>
      <c r="C27" s="56" t="s">
        <v>227</v>
      </c>
      <c r="D27" s="56">
        <v>100</v>
      </c>
      <c r="E27" s="57">
        <v>4.5</v>
      </c>
      <c r="F27" s="58">
        <v>450</v>
      </c>
      <c r="G27" s="59">
        <f>IF(F27&gt;=$C$11,D27,"")</f>
        <v>100</v>
      </c>
    </row>
    <row r="28" spans="2:7" outlineLevel="1">
      <c r="B28" s="56" t="s">
        <v>263</v>
      </c>
      <c r="C28" s="56" t="s">
        <v>230</v>
      </c>
      <c r="D28" s="56">
        <v>75</v>
      </c>
      <c r="E28" s="57">
        <v>13</v>
      </c>
      <c r="F28" s="58">
        <v>975</v>
      </c>
      <c r="G28" s="59">
        <f t="shared" ref="G28:G31" si="1">IF(F28&gt;=$C$11,D28,"")</f>
        <v>75</v>
      </c>
    </row>
    <row r="29" spans="2:7" outlineLevel="1">
      <c r="B29" s="56" t="s">
        <v>264</v>
      </c>
      <c r="C29" s="56" t="s">
        <v>226</v>
      </c>
      <c r="D29" s="56">
        <v>13</v>
      </c>
      <c r="E29" s="57">
        <v>25</v>
      </c>
      <c r="F29" s="58">
        <v>325</v>
      </c>
      <c r="G29" s="59" t="str">
        <f t="shared" si="1"/>
        <v/>
      </c>
    </row>
    <row r="30" spans="2:7" outlineLevel="1">
      <c r="B30" s="56" t="s">
        <v>265</v>
      </c>
      <c r="C30" s="56" t="s">
        <v>228</v>
      </c>
      <c r="D30" s="56">
        <v>200</v>
      </c>
      <c r="E30" s="57">
        <v>0.75</v>
      </c>
      <c r="F30" s="58">
        <v>150</v>
      </c>
      <c r="G30" s="59" t="str">
        <f t="shared" si="1"/>
        <v/>
      </c>
    </row>
    <row r="31" spans="2:7" outlineLevel="1">
      <c r="B31" s="56" t="s">
        <v>266</v>
      </c>
      <c r="C31" s="56" t="s">
        <v>232</v>
      </c>
      <c r="D31" s="56">
        <v>11</v>
      </c>
      <c r="E31" s="57">
        <v>55</v>
      </c>
      <c r="F31" s="58">
        <v>605</v>
      </c>
      <c r="G31" s="59">
        <f t="shared" si="1"/>
        <v>11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ht="18.75">
      <c r="B40" s="5"/>
    </row>
    <row r="41" spans="2:2" outlineLevel="1"/>
    <row r="42" spans="2:2" outlineLevel="1"/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ht="18.75">
      <c r="B65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hisWorkbook.if_problem_1">
                <anchor moveWithCells="1" sizeWithCells="1">
                  <from>
                    <xdr:col>2</xdr:col>
                    <xdr:colOff>1333500</xdr:colOff>
                    <xdr:row>18</xdr:row>
                    <xdr:rowOff>104775</xdr:rowOff>
                  </from>
                  <to>
                    <xdr:col>3</xdr:col>
                    <xdr:colOff>457200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if_problem_2">
                <anchor moveWithCells="1" sizeWithCells="1">
                  <from>
                    <xdr:col>7</xdr:col>
                    <xdr:colOff>266700</xdr:colOff>
                    <xdr:row>27</xdr:row>
                    <xdr:rowOff>47625</xdr:rowOff>
                  </from>
                  <to>
                    <xdr:col>9</xdr:col>
                    <xdr:colOff>504825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P67"/>
  <sheetViews>
    <sheetView showGridLines="0" topLeftCell="A13" zoomScale="80" workbookViewId="0">
      <selection activeCell="I33" sqref="I33"/>
    </sheetView>
  </sheetViews>
  <sheetFormatPr defaultColWidth="9.5" defaultRowHeight="12.75" outlineLevelRow="1"/>
  <cols>
    <col min="1" max="1" width="9.5" style="2"/>
    <col min="2" max="2" width="31" style="2" customWidth="1"/>
    <col min="3" max="3" width="34" style="2" bestFit="1" customWidth="1"/>
    <col min="4" max="4" width="11" style="2" customWidth="1"/>
    <col min="5" max="5" width="17.83203125" style="2" customWidth="1"/>
    <col min="6" max="7" width="16.5" style="2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324</v>
      </c>
    </row>
    <row r="5" spans="1:16">
      <c r="P5" s="6"/>
    </row>
    <row r="7" spans="1:16" ht="18.75">
      <c r="B7" s="5" t="s">
        <v>351</v>
      </c>
    </row>
    <row r="8" spans="1:16" outlineLevel="1"/>
    <row r="9" spans="1:16" ht="18.75" outlineLevel="1">
      <c r="B9" s="22" t="s">
        <v>340</v>
      </c>
    </row>
    <row r="10" spans="1:16" outlineLevel="1"/>
    <row r="11" spans="1:16" ht="15" outlineLevel="1">
      <c r="B11" s="52" t="s">
        <v>267</v>
      </c>
      <c r="C11" s="53">
        <v>4</v>
      </c>
    </row>
    <row r="12" spans="1:16" outlineLevel="1"/>
    <row r="13" spans="1:16" ht="15" outlineLevel="1">
      <c r="B13" s="52" t="s">
        <v>258</v>
      </c>
      <c r="C13" s="53">
        <v>605</v>
      </c>
    </row>
    <row r="14" spans="1:16" ht="13.5" outlineLevel="1" thickBot="1"/>
    <row r="15" spans="1:16" ht="15.75" outlineLevel="1" thickBot="1">
      <c r="B15" s="71" t="s">
        <v>259</v>
      </c>
      <c r="C15" s="71" t="s">
        <v>237</v>
      </c>
      <c r="D15" s="71" t="s">
        <v>260</v>
      </c>
      <c r="E15" s="71" t="s">
        <v>16</v>
      </c>
      <c r="F15" s="71" t="s">
        <v>17</v>
      </c>
      <c r="G15" s="72" t="s">
        <v>261</v>
      </c>
    </row>
    <row r="16" spans="1:16" outlineLevel="1">
      <c r="B16" s="73" t="s">
        <v>262</v>
      </c>
      <c r="C16" s="73" t="s">
        <v>227</v>
      </c>
      <c r="D16" s="73">
        <v>100</v>
      </c>
      <c r="E16" s="74">
        <v>4.5</v>
      </c>
      <c r="F16" s="75">
        <v>450</v>
      </c>
      <c r="G16" s="93" t="str">
        <f>IF(AND(E16&gt;=$C$11,F16&gt;=$C$13),"yes","no")</f>
        <v>no</v>
      </c>
    </row>
    <row r="17" spans="2:7" outlineLevel="1">
      <c r="B17" s="73" t="s">
        <v>263</v>
      </c>
      <c r="C17" s="73" t="s">
        <v>230</v>
      </c>
      <c r="D17" s="73">
        <v>75</v>
      </c>
      <c r="E17" s="74">
        <v>13</v>
      </c>
      <c r="F17" s="75">
        <v>975</v>
      </c>
      <c r="G17" s="93" t="str">
        <f t="shared" ref="G16:G20" si="0">IF(AND(E17&gt;=$C$11,F17&gt;=$C$13),"yes","no")</f>
        <v>yes</v>
      </c>
    </row>
    <row r="18" spans="2:7" outlineLevel="1">
      <c r="B18" s="73" t="s">
        <v>264</v>
      </c>
      <c r="C18" s="73" t="s">
        <v>226</v>
      </c>
      <c r="D18" s="73">
        <v>13</v>
      </c>
      <c r="E18" s="74">
        <v>25</v>
      </c>
      <c r="F18" s="75">
        <v>325</v>
      </c>
      <c r="G18" s="93" t="str">
        <f t="shared" si="0"/>
        <v>no</v>
      </c>
    </row>
    <row r="19" spans="2:7" outlineLevel="1">
      <c r="B19" s="73" t="s">
        <v>265</v>
      </c>
      <c r="C19" s="73" t="s">
        <v>228</v>
      </c>
      <c r="D19" s="73">
        <v>200</v>
      </c>
      <c r="E19" s="74">
        <v>0.75</v>
      </c>
      <c r="F19" s="75">
        <v>150</v>
      </c>
      <c r="G19" s="93" t="str">
        <f t="shared" si="0"/>
        <v>no</v>
      </c>
    </row>
    <row r="20" spans="2:7" outlineLevel="1">
      <c r="B20" s="76" t="s">
        <v>266</v>
      </c>
      <c r="C20" s="76" t="s">
        <v>232</v>
      </c>
      <c r="D20" s="76">
        <v>11</v>
      </c>
      <c r="E20" s="77">
        <v>55</v>
      </c>
      <c r="F20" s="78">
        <v>605</v>
      </c>
      <c r="G20" s="94" t="str">
        <f t="shared" si="0"/>
        <v>yes</v>
      </c>
    </row>
    <row r="21" spans="2:7" outlineLevel="1"/>
    <row r="22" spans="2:7" ht="18.75">
      <c r="B22" s="5" t="s">
        <v>352</v>
      </c>
    </row>
    <row r="23" spans="2:7" outlineLevel="1"/>
    <row r="24" spans="2:7" ht="18.75" outlineLevel="1">
      <c r="B24" s="22" t="s">
        <v>341</v>
      </c>
    </row>
    <row r="25" spans="2:7" outlineLevel="1"/>
    <row r="26" spans="2:7" ht="15" outlineLevel="1">
      <c r="B26" s="52" t="s">
        <v>267</v>
      </c>
      <c r="C26" s="53">
        <v>10</v>
      </c>
    </row>
    <row r="27" spans="2:7" outlineLevel="1"/>
    <row r="28" spans="2:7" ht="15" outlineLevel="1">
      <c r="B28" s="52" t="s">
        <v>268</v>
      </c>
      <c r="C28" s="60">
        <v>50</v>
      </c>
    </row>
    <row r="29" spans="2:7" ht="13.5" outlineLevel="1" thickBot="1"/>
    <row r="30" spans="2:7" ht="15.75" outlineLevel="1" thickBot="1">
      <c r="B30" s="54" t="s">
        <v>259</v>
      </c>
      <c r="C30" s="54" t="s">
        <v>237</v>
      </c>
      <c r="D30" s="54" t="s">
        <v>260</v>
      </c>
      <c r="E30" s="54" t="s">
        <v>16</v>
      </c>
      <c r="F30" s="54" t="s">
        <v>17</v>
      </c>
      <c r="G30" s="67" t="s">
        <v>261</v>
      </c>
    </row>
    <row r="31" spans="2:7" outlineLevel="1">
      <c r="B31" s="56" t="s">
        <v>262</v>
      </c>
      <c r="C31" s="56" t="s">
        <v>227</v>
      </c>
      <c r="D31" s="56">
        <v>100</v>
      </c>
      <c r="E31" s="57">
        <v>4.5</v>
      </c>
      <c r="F31" s="58">
        <v>450</v>
      </c>
      <c r="G31" s="89" t="str">
        <f t="shared" ref="G31:G35" si="1">IF(AND(E16&gt;$C$11,F16&gt;$C$13),B31,"NA")</f>
        <v>NA</v>
      </c>
    </row>
    <row r="32" spans="2:7" outlineLevel="1">
      <c r="B32" s="56" t="s">
        <v>263</v>
      </c>
      <c r="C32" s="56" t="s">
        <v>230</v>
      </c>
      <c r="D32" s="56">
        <v>75</v>
      </c>
      <c r="E32" s="57">
        <v>13</v>
      </c>
      <c r="F32" s="58">
        <v>975</v>
      </c>
      <c r="G32" s="89" t="str">
        <f t="shared" si="1"/>
        <v>South Asia</v>
      </c>
    </row>
    <row r="33" spans="2:7" outlineLevel="1">
      <c r="B33" s="56" t="s">
        <v>264</v>
      </c>
      <c r="C33" s="56" t="s">
        <v>226</v>
      </c>
      <c r="D33" s="56">
        <v>13</v>
      </c>
      <c r="E33" s="57">
        <v>25</v>
      </c>
      <c r="F33" s="58">
        <v>325</v>
      </c>
      <c r="G33" s="89" t="str">
        <f t="shared" si="1"/>
        <v>NA</v>
      </c>
    </row>
    <row r="34" spans="2:7" outlineLevel="1">
      <c r="B34" s="56" t="s">
        <v>265</v>
      </c>
      <c r="C34" s="56" t="s">
        <v>228</v>
      </c>
      <c r="D34" s="56">
        <v>200</v>
      </c>
      <c r="E34" s="57">
        <v>0.75</v>
      </c>
      <c r="F34" s="58">
        <v>150</v>
      </c>
      <c r="G34" s="89" t="str">
        <f t="shared" si="1"/>
        <v>NA</v>
      </c>
    </row>
    <row r="35" spans="2:7" outlineLevel="1">
      <c r="B35" s="68" t="s">
        <v>266</v>
      </c>
      <c r="C35" s="68" t="s">
        <v>232</v>
      </c>
      <c r="D35" s="68">
        <v>11</v>
      </c>
      <c r="E35" s="69">
        <v>55</v>
      </c>
      <c r="F35" s="70">
        <v>605</v>
      </c>
      <c r="G35" s="90" t="str">
        <f t="shared" si="1"/>
        <v>NA</v>
      </c>
    </row>
    <row r="36" spans="2:7" outlineLevel="1"/>
    <row r="37" spans="2:7" outlineLevel="1"/>
    <row r="38" spans="2:7" outlineLevel="1"/>
    <row r="39" spans="2:7" outlineLevel="1"/>
    <row r="40" spans="2:7" outlineLevel="1"/>
    <row r="41" spans="2:7" outlineLevel="1"/>
    <row r="42" spans="2:7" ht="18.75">
      <c r="B42" s="5"/>
    </row>
    <row r="43" spans="2:7" hidden="1" outlineLevel="1"/>
    <row r="44" spans="2:7" hidden="1" outlineLevel="1"/>
    <row r="45" spans="2:7" hidden="1" outlineLevel="1"/>
    <row r="46" spans="2:7" hidden="1" outlineLevel="1"/>
    <row r="47" spans="2:7" hidden="1" outlineLevel="1"/>
    <row r="48" spans="2:7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75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if_answer_3">
                <anchor moveWithCells="1" sizeWithCells="1">
                  <from>
                    <xdr:col>8</xdr:col>
                    <xdr:colOff>180975</xdr:colOff>
                    <xdr:row>18</xdr:row>
                    <xdr:rowOff>38100</xdr:rowOff>
                  </from>
                  <to>
                    <xdr:col>10</xdr:col>
                    <xdr:colOff>304800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if_answer_4">
                <anchor moveWithCells="1" sizeWithCells="1">
                  <from>
                    <xdr:col>8</xdr:col>
                    <xdr:colOff>228600</xdr:colOff>
                    <xdr:row>29</xdr:row>
                    <xdr:rowOff>66675</xdr:rowOff>
                  </from>
                  <to>
                    <xdr:col>10</xdr:col>
                    <xdr:colOff>419100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5" tint="0.39997558519241921"/>
  </sheetPr>
  <dimension ref="A1:P67"/>
  <sheetViews>
    <sheetView showGridLines="0" topLeftCell="A15" zoomScale="80" workbookViewId="0">
      <selection activeCell="I33" sqref="I33"/>
    </sheetView>
  </sheetViews>
  <sheetFormatPr defaultColWidth="9.5" defaultRowHeight="12.75" outlineLevelRow="1"/>
  <cols>
    <col min="1" max="1" width="9.5" style="2"/>
    <col min="2" max="2" width="22.5" style="2" customWidth="1"/>
    <col min="3" max="3" width="34" style="2" bestFit="1" customWidth="1"/>
    <col min="4" max="4" width="8" style="2" customWidth="1"/>
    <col min="5" max="5" width="14.5" style="2" bestFit="1" customWidth="1"/>
    <col min="6" max="6" width="13.83203125" style="2" bestFit="1" customWidth="1"/>
    <col min="7" max="7" width="13" style="2" bestFit="1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354</v>
      </c>
    </row>
    <row r="5" spans="1:16">
      <c r="P5" s="6"/>
    </row>
    <row r="7" spans="1:16" ht="18.75">
      <c r="B7" s="5" t="s">
        <v>351</v>
      </c>
    </row>
    <row r="8" spans="1:16" outlineLevel="1"/>
    <row r="9" spans="1:16" ht="18.75" outlineLevel="1">
      <c r="B9" s="22" t="s">
        <v>340</v>
      </c>
    </row>
    <row r="10" spans="1:16" outlineLevel="1"/>
    <row r="11" spans="1:16" ht="15" outlineLevel="1">
      <c r="B11" s="52" t="s">
        <v>267</v>
      </c>
      <c r="C11" s="53">
        <v>4</v>
      </c>
    </row>
    <row r="12" spans="1:16" outlineLevel="1"/>
    <row r="13" spans="1:16" ht="15" outlineLevel="1">
      <c r="B13" s="52" t="s">
        <v>258</v>
      </c>
      <c r="C13" s="53">
        <v>605</v>
      </c>
    </row>
    <row r="14" spans="1:16" ht="13.5" outlineLevel="1" thickBot="1"/>
    <row r="15" spans="1:16" ht="15.75" outlineLevel="1" thickBot="1">
      <c r="B15" s="54" t="s">
        <v>259</v>
      </c>
      <c r="C15" s="54" t="s">
        <v>237</v>
      </c>
      <c r="D15" s="54" t="s">
        <v>260</v>
      </c>
      <c r="E15" s="54" t="s">
        <v>16</v>
      </c>
      <c r="F15" s="54" t="s">
        <v>17</v>
      </c>
      <c r="G15" s="55" t="s">
        <v>261</v>
      </c>
    </row>
    <row r="16" spans="1:16" outlineLevel="1">
      <c r="B16" s="56" t="s">
        <v>262</v>
      </c>
      <c r="C16" s="56" t="s">
        <v>227</v>
      </c>
      <c r="D16" s="56">
        <v>100</v>
      </c>
      <c r="E16" s="57">
        <v>4.5</v>
      </c>
      <c r="F16" s="58">
        <v>450</v>
      </c>
      <c r="G16" s="59" t="str">
        <f>IF(AND(F16&gt;=$C$13,E16&gt;=$C$11),"Yes","No")</f>
        <v>No</v>
      </c>
    </row>
    <row r="17" spans="2:7" outlineLevel="1">
      <c r="B17" s="56" t="s">
        <v>263</v>
      </c>
      <c r="C17" s="56" t="s">
        <v>230</v>
      </c>
      <c r="D17" s="56">
        <v>75</v>
      </c>
      <c r="E17" s="57">
        <v>13</v>
      </c>
      <c r="F17" s="58">
        <v>975</v>
      </c>
      <c r="G17" s="59" t="str">
        <f t="shared" ref="G17:G20" si="0">IF(AND(F17&gt;=$C$13,E17&gt;=$C$11),"Yes","No")</f>
        <v>Yes</v>
      </c>
    </row>
    <row r="18" spans="2:7" outlineLevel="1">
      <c r="B18" s="56" t="s">
        <v>264</v>
      </c>
      <c r="C18" s="56" t="s">
        <v>226</v>
      </c>
      <c r="D18" s="56">
        <v>13</v>
      </c>
      <c r="E18" s="57">
        <v>25</v>
      </c>
      <c r="F18" s="58">
        <v>325</v>
      </c>
      <c r="G18" s="59" t="str">
        <f t="shared" si="0"/>
        <v>No</v>
      </c>
    </row>
    <row r="19" spans="2:7" outlineLevel="1">
      <c r="B19" s="56" t="s">
        <v>265</v>
      </c>
      <c r="C19" s="56" t="s">
        <v>228</v>
      </c>
      <c r="D19" s="56">
        <v>200</v>
      </c>
      <c r="E19" s="57">
        <v>0.75</v>
      </c>
      <c r="F19" s="58">
        <v>150</v>
      </c>
      <c r="G19" s="59" t="str">
        <f t="shared" si="0"/>
        <v>No</v>
      </c>
    </row>
    <row r="20" spans="2:7" outlineLevel="1">
      <c r="B20" s="56" t="s">
        <v>266</v>
      </c>
      <c r="C20" s="56" t="s">
        <v>232</v>
      </c>
      <c r="D20" s="56">
        <v>11</v>
      </c>
      <c r="E20" s="57">
        <v>55</v>
      </c>
      <c r="F20" s="58">
        <v>605</v>
      </c>
      <c r="G20" s="59" t="str">
        <f t="shared" si="0"/>
        <v>Yes</v>
      </c>
    </row>
    <row r="21" spans="2:7" outlineLevel="1"/>
    <row r="22" spans="2:7" ht="18.75">
      <c r="B22" s="5" t="s">
        <v>352</v>
      </c>
    </row>
    <row r="23" spans="2:7" outlineLevel="1"/>
    <row r="24" spans="2:7" ht="18.75" outlineLevel="1">
      <c r="B24" s="22" t="s">
        <v>341</v>
      </c>
    </row>
    <row r="25" spans="2:7" outlineLevel="1"/>
    <row r="26" spans="2:7" ht="15" outlineLevel="1">
      <c r="B26" s="52" t="s">
        <v>267</v>
      </c>
      <c r="C26" s="53">
        <v>10</v>
      </c>
    </row>
    <row r="27" spans="2:7" outlineLevel="1"/>
    <row r="28" spans="2:7" ht="15" outlineLevel="1">
      <c r="B28" s="52" t="s">
        <v>268</v>
      </c>
      <c r="C28" s="60">
        <v>50</v>
      </c>
    </row>
    <row r="29" spans="2:7" ht="13.5" outlineLevel="1" thickBot="1"/>
    <row r="30" spans="2:7" ht="15.75" outlineLevel="1" thickBot="1">
      <c r="B30" s="54" t="s">
        <v>259</v>
      </c>
      <c r="C30" s="54" t="s">
        <v>237</v>
      </c>
      <c r="D30" s="54" t="s">
        <v>260</v>
      </c>
      <c r="E30" s="54" t="s">
        <v>16</v>
      </c>
      <c r="F30" s="54" t="s">
        <v>17</v>
      </c>
      <c r="G30" s="55" t="s">
        <v>261</v>
      </c>
    </row>
    <row r="31" spans="2:7" outlineLevel="1">
      <c r="B31" s="56" t="s">
        <v>262</v>
      </c>
      <c r="C31" s="56" t="s">
        <v>227</v>
      </c>
      <c r="D31" s="56">
        <v>100</v>
      </c>
      <c r="E31" s="57">
        <v>4.5</v>
      </c>
      <c r="F31" s="58">
        <v>450</v>
      </c>
      <c r="G31" s="59" t="str">
        <f>IF(AND(E31&gt;$C$26,D31&gt;$C$28),B31,"")</f>
        <v/>
      </c>
    </row>
    <row r="32" spans="2:7" outlineLevel="1">
      <c r="B32" s="56" t="s">
        <v>263</v>
      </c>
      <c r="C32" s="56" t="s">
        <v>230</v>
      </c>
      <c r="D32" s="56">
        <v>75</v>
      </c>
      <c r="E32" s="57">
        <v>13</v>
      </c>
      <c r="F32" s="58">
        <v>975</v>
      </c>
      <c r="G32" s="59" t="str">
        <f t="shared" ref="G32:G35" si="1">IF(AND(E32&gt;$C$26,D32&gt;$C$28),B32,"")</f>
        <v>South Asia</v>
      </c>
    </row>
    <row r="33" spans="2:7" outlineLevel="1">
      <c r="B33" s="56" t="s">
        <v>264</v>
      </c>
      <c r="C33" s="56" t="s">
        <v>226</v>
      </c>
      <c r="D33" s="56">
        <v>13</v>
      </c>
      <c r="E33" s="57">
        <v>25</v>
      </c>
      <c r="F33" s="58">
        <v>325</v>
      </c>
      <c r="G33" s="59" t="str">
        <f t="shared" si="1"/>
        <v/>
      </c>
    </row>
    <row r="34" spans="2:7" outlineLevel="1">
      <c r="B34" s="56" t="s">
        <v>265</v>
      </c>
      <c r="C34" s="56" t="s">
        <v>228</v>
      </c>
      <c r="D34" s="56">
        <v>200</v>
      </c>
      <c r="E34" s="57">
        <v>0.75</v>
      </c>
      <c r="F34" s="58">
        <v>150</v>
      </c>
      <c r="G34" s="59" t="str">
        <f t="shared" si="1"/>
        <v/>
      </c>
    </row>
    <row r="35" spans="2:7" outlineLevel="1">
      <c r="B35" s="56" t="s">
        <v>266</v>
      </c>
      <c r="C35" s="56" t="s">
        <v>232</v>
      </c>
      <c r="D35" s="56">
        <v>11</v>
      </c>
      <c r="E35" s="57">
        <v>55</v>
      </c>
      <c r="F35" s="58">
        <v>605</v>
      </c>
      <c r="G35" s="59" t="str">
        <f t="shared" si="1"/>
        <v/>
      </c>
    </row>
    <row r="36" spans="2:7" outlineLevel="1"/>
    <row r="37" spans="2:7" outlineLevel="1"/>
    <row r="38" spans="2:7" outlineLevel="1"/>
    <row r="39" spans="2:7" outlineLevel="1"/>
    <row r="40" spans="2:7" outlineLevel="1"/>
    <row r="41" spans="2:7" outlineLevel="1"/>
    <row r="42" spans="2:7" ht="18.75">
      <c r="B42" s="5"/>
    </row>
    <row r="43" spans="2:7" outlineLevel="1"/>
    <row r="44" spans="2:7" outlineLevel="1"/>
    <row r="45" spans="2:7" outlineLevel="1"/>
    <row r="46" spans="2:7" outlineLevel="1"/>
    <row r="47" spans="2:7" outlineLevel="1"/>
    <row r="48" spans="2:7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hisWorkbook.if_problem_3">
                <anchor moveWithCells="1" sizeWithCells="1">
                  <from>
                    <xdr:col>7</xdr:col>
                    <xdr:colOff>495300</xdr:colOff>
                    <xdr:row>16</xdr:row>
                    <xdr:rowOff>123825</xdr:rowOff>
                  </from>
                  <to>
                    <xdr:col>10</xdr:col>
                    <xdr:colOff>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ThisWorkbook.if_problem_4">
                <anchor moveWithCells="1" sizeWithCells="1">
                  <from>
                    <xdr:col>7</xdr:col>
                    <xdr:colOff>419100</xdr:colOff>
                    <xdr:row>30</xdr:row>
                    <xdr:rowOff>142875</xdr:rowOff>
                  </from>
                  <to>
                    <xdr:col>10</xdr:col>
                    <xdr:colOff>152400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P67"/>
  <sheetViews>
    <sheetView showGridLines="0" topLeftCell="A16" zoomScale="80" workbookViewId="0">
      <selection activeCell="I33" sqref="I33"/>
    </sheetView>
  </sheetViews>
  <sheetFormatPr defaultColWidth="9.5" defaultRowHeight="12.75" outlineLevelRow="1"/>
  <cols>
    <col min="1" max="1" width="9.5" style="2"/>
    <col min="2" max="2" width="25.83203125" style="2" customWidth="1"/>
    <col min="3" max="3" width="24" style="2" customWidth="1"/>
    <col min="4" max="4" width="20" style="2" customWidth="1"/>
    <col min="5" max="5" width="16.5" style="2" customWidth="1"/>
    <col min="6" max="6" width="15.5" style="2" customWidth="1"/>
    <col min="7" max="7" width="28.5" style="2" bestFit="1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325</v>
      </c>
    </row>
    <row r="5" spans="1:16">
      <c r="P5" s="6"/>
    </row>
    <row r="7" spans="1:16" ht="18.75">
      <c r="B7" s="5" t="s">
        <v>358</v>
      </c>
    </row>
    <row r="8" spans="1:16" outlineLevel="1"/>
    <row r="9" spans="1:16" ht="18.75" outlineLevel="1">
      <c r="B9" s="22" t="s">
        <v>375</v>
      </c>
    </row>
    <row r="10" spans="1:16" ht="13.5" outlineLevel="1" thickBot="1"/>
    <row r="11" spans="1:16" ht="15.75" outlineLevel="1" thickBot="1">
      <c r="B11" s="54" t="s">
        <v>12</v>
      </c>
      <c r="C11" s="54" t="s">
        <v>270</v>
      </c>
      <c r="D11" s="54" t="s">
        <v>271</v>
      </c>
      <c r="E11" s="54" t="s">
        <v>17</v>
      </c>
      <c r="F11" s="54" t="s">
        <v>10</v>
      </c>
      <c r="G11" s="67" t="s">
        <v>261</v>
      </c>
    </row>
    <row r="12" spans="1:16" outlineLevel="1">
      <c r="B12" s="56" t="s">
        <v>27</v>
      </c>
      <c r="C12" s="56" t="s">
        <v>272</v>
      </c>
      <c r="D12" s="56" t="s">
        <v>273</v>
      </c>
      <c r="E12" s="57">
        <v>1000</v>
      </c>
      <c r="F12" s="58" t="s">
        <v>75</v>
      </c>
      <c r="G12" s="89" t="str">
        <f t="shared" ref="G12:G16" si="0">IF(B12&lt;&gt;"online",C12," ")</f>
        <v>The Distribution Group</v>
      </c>
    </row>
    <row r="13" spans="1:16" outlineLevel="1">
      <c r="B13" s="56" t="s">
        <v>21</v>
      </c>
      <c r="C13" s="56" t="s">
        <v>274</v>
      </c>
      <c r="D13" s="56" t="s">
        <v>275</v>
      </c>
      <c r="E13" s="57">
        <v>2500</v>
      </c>
      <c r="F13" s="58" t="s">
        <v>29</v>
      </c>
      <c r="G13" s="89" t="str">
        <f t="shared" si="0"/>
        <v xml:space="preserve"> </v>
      </c>
    </row>
    <row r="14" spans="1:16" outlineLevel="1">
      <c r="B14" s="56" t="s">
        <v>21</v>
      </c>
      <c r="C14" s="56" t="s">
        <v>276</v>
      </c>
      <c r="D14" s="56" t="s">
        <v>277</v>
      </c>
      <c r="E14" s="57">
        <v>750</v>
      </c>
      <c r="F14" s="58" t="s">
        <v>19</v>
      </c>
      <c r="G14" s="89" t="str">
        <f t="shared" si="0"/>
        <v xml:space="preserve"> </v>
      </c>
    </row>
    <row r="15" spans="1:16" outlineLevel="1">
      <c r="B15" s="56" t="s">
        <v>24</v>
      </c>
      <c r="C15" s="56" t="s">
        <v>278</v>
      </c>
      <c r="D15" s="56" t="s">
        <v>279</v>
      </c>
      <c r="E15" s="57">
        <v>1152</v>
      </c>
      <c r="F15" s="58" t="s">
        <v>280</v>
      </c>
      <c r="G15" s="89" t="str">
        <f t="shared" si="0"/>
        <v>Freight Away</v>
      </c>
    </row>
    <row r="16" spans="1:16" outlineLevel="1">
      <c r="B16" s="68" t="s">
        <v>27</v>
      </c>
      <c r="C16" s="68" t="s">
        <v>281</v>
      </c>
      <c r="D16" s="68" t="s">
        <v>273</v>
      </c>
      <c r="E16" s="69">
        <v>345</v>
      </c>
      <c r="F16" s="70" t="s">
        <v>176</v>
      </c>
      <c r="G16" s="90" t="str">
        <f t="shared" si="0"/>
        <v>Infinity Trucking</v>
      </c>
    </row>
    <row r="17" spans="2:7" outlineLevel="1"/>
    <row r="18" spans="2:7" outlineLevel="1"/>
    <row r="19" spans="2:7" outlineLevel="1"/>
    <row r="20" spans="2:7" outlineLevel="1"/>
    <row r="21" spans="2:7" outlineLevel="1"/>
    <row r="22" spans="2:7" ht="18.75">
      <c r="B22" s="5" t="s">
        <v>359</v>
      </c>
    </row>
    <row r="23" spans="2:7" outlineLevel="1"/>
    <row r="24" spans="2:7" ht="18.75" outlineLevel="1">
      <c r="B24" s="22" t="s">
        <v>293</v>
      </c>
    </row>
    <row r="25" spans="2:7" ht="13.5" outlineLevel="1" thickBot="1"/>
    <row r="26" spans="2:7" ht="15.75" outlineLevel="1" thickBot="1">
      <c r="B26" s="71" t="s">
        <v>12</v>
      </c>
      <c r="C26" s="71" t="s">
        <v>270</v>
      </c>
      <c r="D26" s="71" t="s">
        <v>271</v>
      </c>
      <c r="E26" s="71" t="s">
        <v>17</v>
      </c>
      <c r="F26" s="71" t="s">
        <v>10</v>
      </c>
      <c r="G26" s="72" t="s">
        <v>261</v>
      </c>
    </row>
    <row r="27" spans="2:7" outlineLevel="1">
      <c r="B27" s="73" t="s">
        <v>27</v>
      </c>
      <c r="C27" s="73" t="s">
        <v>272</v>
      </c>
      <c r="D27" s="73" t="s">
        <v>273</v>
      </c>
      <c r="E27" s="74">
        <v>1000</v>
      </c>
      <c r="F27" s="75" t="s">
        <v>75</v>
      </c>
      <c r="G27" s="93" t="str">
        <f t="shared" ref="G27:G31" si="1">IF(OR(B27="online",E27&gt;1000),C27,"")</f>
        <v/>
      </c>
    </row>
    <row r="28" spans="2:7" outlineLevel="1">
      <c r="B28" s="73" t="s">
        <v>21</v>
      </c>
      <c r="C28" s="73" t="s">
        <v>274</v>
      </c>
      <c r="D28" s="73" t="s">
        <v>275</v>
      </c>
      <c r="E28" s="74">
        <v>2500</v>
      </c>
      <c r="F28" s="75" t="s">
        <v>29</v>
      </c>
      <c r="G28" s="93" t="str">
        <f t="shared" si="1"/>
        <v>Distributors R Us</v>
      </c>
    </row>
    <row r="29" spans="2:7" outlineLevel="1">
      <c r="B29" s="73" t="s">
        <v>21</v>
      </c>
      <c r="C29" s="73" t="s">
        <v>276</v>
      </c>
      <c r="D29" s="73" t="s">
        <v>277</v>
      </c>
      <c r="E29" s="74">
        <v>750</v>
      </c>
      <c r="F29" s="75" t="s">
        <v>19</v>
      </c>
      <c r="G29" s="93" t="str">
        <f t="shared" si="1"/>
        <v>Discount Distribution</v>
      </c>
    </row>
    <row r="30" spans="2:7" outlineLevel="1">
      <c r="B30" s="73" t="s">
        <v>24</v>
      </c>
      <c r="C30" s="73" t="s">
        <v>278</v>
      </c>
      <c r="D30" s="73" t="s">
        <v>279</v>
      </c>
      <c r="E30" s="74">
        <v>1152</v>
      </c>
      <c r="F30" s="75" t="s">
        <v>280</v>
      </c>
      <c r="G30" s="93" t="str">
        <f t="shared" si="1"/>
        <v>Freight Away</v>
      </c>
    </row>
    <row r="31" spans="2:7" outlineLevel="1">
      <c r="B31" s="76" t="s">
        <v>27</v>
      </c>
      <c r="C31" s="76" t="s">
        <v>281</v>
      </c>
      <c r="D31" s="76" t="s">
        <v>273</v>
      </c>
      <c r="E31" s="77">
        <v>345</v>
      </c>
      <c r="F31" s="78" t="s">
        <v>176</v>
      </c>
      <c r="G31" s="94" t="str">
        <f t="shared" si="1"/>
        <v/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75">
      <c r="B42" s="5"/>
    </row>
    <row r="43" spans="2:2" hidden="1" outlineLevel="1"/>
    <row r="44" spans="2:2" hidden="1" outlineLevel="1"/>
    <row r="45" spans="2:2" hidden="1" outlineLevel="1"/>
    <row r="46" spans="2:2" hidden="1" outlineLevel="1"/>
    <row r="47" spans="2:2" hidden="1" outlineLevel="1"/>
    <row r="48" spans="2:2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75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hisWorkbook.if_answer_5">
                <anchor moveWithCells="1" sizeWithCells="1">
                  <from>
                    <xdr:col>7</xdr:col>
                    <xdr:colOff>504825</xdr:colOff>
                    <xdr:row>14</xdr:row>
                    <xdr:rowOff>9525</xdr:rowOff>
                  </from>
                  <to>
                    <xdr:col>10</xdr:col>
                    <xdr:colOff>152400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hisWorkbook.if_answer_6">
                <anchor moveWithCells="1" sizeWithCells="1">
                  <from>
                    <xdr:col>7</xdr:col>
                    <xdr:colOff>504825</xdr:colOff>
                    <xdr:row>25</xdr:row>
                    <xdr:rowOff>190500</xdr:rowOff>
                  </from>
                  <to>
                    <xdr:col>10</xdr:col>
                    <xdr:colOff>314325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5" tint="0.39997558519241921"/>
  </sheetPr>
  <dimension ref="A1:P67"/>
  <sheetViews>
    <sheetView showGridLines="0" topLeftCell="A19" zoomScale="80" workbookViewId="0">
      <selection activeCell="J33" sqref="J33"/>
    </sheetView>
  </sheetViews>
  <sheetFormatPr defaultColWidth="9.5" defaultRowHeight="12.75" outlineLevelRow="1"/>
  <cols>
    <col min="1" max="1" width="9.5" style="2"/>
    <col min="2" max="2" width="20" style="2" customWidth="1"/>
    <col min="3" max="3" width="34" style="2" bestFit="1" customWidth="1"/>
    <col min="4" max="4" width="19.5" style="2" customWidth="1"/>
    <col min="5" max="5" width="14.5" style="2" bestFit="1" customWidth="1"/>
    <col min="6" max="6" width="13.83203125" style="2" bestFit="1" customWidth="1"/>
    <col min="7" max="7" width="24" style="2" bestFit="1" customWidth="1"/>
    <col min="8" max="16384" width="9.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353</v>
      </c>
    </row>
    <row r="5" spans="1:16">
      <c r="P5" s="6"/>
    </row>
    <row r="7" spans="1:16" ht="18.75">
      <c r="B7" s="5" t="s">
        <v>358</v>
      </c>
    </row>
    <row r="8" spans="1:16" outlineLevel="1"/>
    <row r="9" spans="1:16" ht="18.75" outlineLevel="1">
      <c r="B9" s="22" t="s">
        <v>310</v>
      </c>
    </row>
    <row r="10" spans="1:16" ht="13.5" outlineLevel="1" thickBot="1"/>
    <row r="11" spans="1:16" ht="15.75" outlineLevel="1" thickBot="1">
      <c r="B11" s="54" t="s">
        <v>269</v>
      </c>
      <c r="C11" s="54" t="s">
        <v>270</v>
      </c>
      <c r="D11" s="54" t="s">
        <v>271</v>
      </c>
      <c r="E11" s="54" t="s">
        <v>17</v>
      </c>
      <c r="F11" s="54" t="s">
        <v>10</v>
      </c>
      <c r="G11" s="55" t="s">
        <v>261</v>
      </c>
    </row>
    <row r="12" spans="1:16" outlineLevel="1">
      <c r="B12" s="56" t="s">
        <v>27</v>
      </c>
      <c r="C12" s="56" t="s">
        <v>272</v>
      </c>
      <c r="D12" s="56" t="s">
        <v>273</v>
      </c>
      <c r="E12" s="57">
        <v>1000</v>
      </c>
      <c r="F12" s="58" t="s">
        <v>75</v>
      </c>
      <c r="G12" s="59" t="str">
        <f>IF(OR(B12="Retail",B12="Direct"),C12,"")</f>
        <v>The Distribution Group</v>
      </c>
    </row>
    <row r="13" spans="1:16" outlineLevel="1">
      <c r="B13" s="56" t="s">
        <v>21</v>
      </c>
      <c r="C13" s="56" t="s">
        <v>274</v>
      </c>
      <c r="D13" s="56" t="s">
        <v>275</v>
      </c>
      <c r="E13" s="57">
        <v>2500</v>
      </c>
      <c r="F13" s="58" t="s">
        <v>29</v>
      </c>
      <c r="G13" s="59" t="str">
        <f>IF(OR(B13="Retail",B13="Direct"),C13,"")</f>
        <v/>
      </c>
    </row>
    <row r="14" spans="1:16" outlineLevel="1">
      <c r="B14" s="56" t="s">
        <v>21</v>
      </c>
      <c r="C14" s="56" t="s">
        <v>276</v>
      </c>
      <c r="D14" s="56" t="s">
        <v>277</v>
      </c>
      <c r="E14" s="57">
        <v>750</v>
      </c>
      <c r="F14" s="58" t="s">
        <v>19</v>
      </c>
      <c r="G14" s="59" t="str">
        <f>IF(OR(B14="Retail",B14="Direct"),C14,"")</f>
        <v/>
      </c>
    </row>
    <row r="15" spans="1:16" outlineLevel="1">
      <c r="B15" s="56" t="s">
        <v>24</v>
      </c>
      <c r="C15" s="56" t="s">
        <v>278</v>
      </c>
      <c r="D15" s="56" t="s">
        <v>279</v>
      </c>
      <c r="E15" s="57">
        <v>1152</v>
      </c>
      <c r="F15" s="58" t="s">
        <v>280</v>
      </c>
      <c r="G15" s="59" t="str">
        <f>IF(OR(B15="Retail",B15="Direct"),C15,"")</f>
        <v>Freight Away</v>
      </c>
    </row>
    <row r="16" spans="1:16" outlineLevel="1">
      <c r="B16" s="56" t="s">
        <v>27</v>
      </c>
      <c r="C16" s="56" t="s">
        <v>281</v>
      </c>
      <c r="D16" s="56" t="s">
        <v>273</v>
      </c>
      <c r="E16" s="57">
        <v>345</v>
      </c>
      <c r="F16" s="58" t="s">
        <v>176</v>
      </c>
      <c r="G16" s="59" t="str">
        <f>IF(OR(B16="Retail",B16="Direct"),C16,"")</f>
        <v>Infinity Trucking</v>
      </c>
    </row>
    <row r="17" spans="2:7" outlineLevel="1"/>
    <row r="18" spans="2:7" outlineLevel="1"/>
    <row r="19" spans="2:7" outlineLevel="1"/>
    <row r="20" spans="2:7" outlineLevel="1"/>
    <row r="21" spans="2:7" outlineLevel="1"/>
    <row r="22" spans="2:7" ht="18.75">
      <c r="B22" s="5" t="s">
        <v>359</v>
      </c>
    </row>
    <row r="23" spans="2:7" outlineLevel="1"/>
    <row r="24" spans="2:7" ht="18.75" outlineLevel="1">
      <c r="B24" s="22" t="s">
        <v>293</v>
      </c>
    </row>
    <row r="25" spans="2:7" ht="13.5" outlineLevel="1" thickBot="1"/>
    <row r="26" spans="2:7" ht="15.75" outlineLevel="1" thickBot="1">
      <c r="B26" s="54" t="s">
        <v>269</v>
      </c>
      <c r="C26" s="54" t="s">
        <v>270</v>
      </c>
      <c r="D26" s="54" t="s">
        <v>271</v>
      </c>
      <c r="E26" s="54" t="s">
        <v>17</v>
      </c>
      <c r="F26" s="54" t="s">
        <v>10</v>
      </c>
      <c r="G26" s="55" t="s">
        <v>261</v>
      </c>
    </row>
    <row r="27" spans="2:7" outlineLevel="1">
      <c r="B27" s="56" t="s">
        <v>27</v>
      </c>
      <c r="C27" s="56" t="s">
        <v>272</v>
      </c>
      <c r="D27" s="56" t="s">
        <v>273</v>
      </c>
      <c r="E27" s="57">
        <v>1000</v>
      </c>
      <c r="F27" s="58" t="s">
        <v>75</v>
      </c>
      <c r="G27" s="59" t="str">
        <f>IF(OR(E27&gt;1000,B27="Online"),C27,"")</f>
        <v/>
      </c>
    </row>
    <row r="28" spans="2:7" outlineLevel="1">
      <c r="B28" s="56" t="s">
        <v>21</v>
      </c>
      <c r="C28" s="56" t="s">
        <v>274</v>
      </c>
      <c r="D28" s="56" t="s">
        <v>275</v>
      </c>
      <c r="E28" s="57">
        <v>2500</v>
      </c>
      <c r="F28" s="58" t="s">
        <v>29</v>
      </c>
      <c r="G28" s="59" t="str">
        <f>IF(OR(E28&gt;1000,B28="Online"),C28,"")</f>
        <v>Distributors R Us</v>
      </c>
    </row>
    <row r="29" spans="2:7" outlineLevel="1">
      <c r="B29" s="56" t="s">
        <v>21</v>
      </c>
      <c r="C29" s="56" t="s">
        <v>276</v>
      </c>
      <c r="D29" s="56" t="s">
        <v>277</v>
      </c>
      <c r="E29" s="57">
        <v>750</v>
      </c>
      <c r="F29" s="58" t="s">
        <v>19</v>
      </c>
      <c r="G29" s="59" t="str">
        <f>IF(OR(E29&gt;1000,B29="Online"),C29,"")</f>
        <v>Discount Distribution</v>
      </c>
    </row>
    <row r="30" spans="2:7" outlineLevel="1">
      <c r="B30" s="56" t="s">
        <v>24</v>
      </c>
      <c r="C30" s="56" t="s">
        <v>278</v>
      </c>
      <c r="D30" s="56" t="s">
        <v>279</v>
      </c>
      <c r="E30" s="57">
        <v>1152</v>
      </c>
      <c r="F30" s="58" t="s">
        <v>280</v>
      </c>
      <c r="G30" s="59" t="str">
        <f>IF(OR(E30&gt;1000,B30="Online"),C30,"")</f>
        <v>Freight Away</v>
      </c>
    </row>
    <row r="31" spans="2:7" outlineLevel="1">
      <c r="B31" s="56" t="s">
        <v>27</v>
      </c>
      <c r="C31" s="56" t="s">
        <v>281</v>
      </c>
      <c r="D31" s="56" t="s">
        <v>273</v>
      </c>
      <c r="E31" s="57">
        <v>345</v>
      </c>
      <c r="F31" s="58" t="s">
        <v>176</v>
      </c>
      <c r="G31" s="59" t="str">
        <f>IF(OR(E31&gt;1000,B31="Online"),C31,"")</f>
        <v/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75">
      <c r="B42" s="5"/>
    </row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hisWorkbook.if_problem_5">
                <anchor moveWithCells="1" sizeWithCells="1">
                  <from>
                    <xdr:col>7</xdr:col>
                    <xdr:colOff>495300</xdr:colOff>
                    <xdr:row>16</xdr:row>
                    <xdr:rowOff>152400</xdr:rowOff>
                  </from>
                  <to>
                    <xdr:col>9</xdr:col>
                    <xdr:colOff>523875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ThisWorkbook.if_problem_6">
                <anchor moveWithCells="1" sizeWithCells="1">
                  <from>
                    <xdr:col>7</xdr:col>
                    <xdr:colOff>419100</xdr:colOff>
                    <xdr:row>29</xdr:row>
                    <xdr:rowOff>152400</xdr:rowOff>
                  </from>
                  <to>
                    <xdr:col>10</xdr:col>
                    <xdr:colOff>257175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S1048576"/>
  <sheetViews>
    <sheetView showGridLines="0" tabSelected="1" topLeftCell="A15" zoomScale="80" workbookViewId="0">
      <selection activeCell="H35" sqref="H35"/>
    </sheetView>
  </sheetViews>
  <sheetFormatPr defaultColWidth="9.5" defaultRowHeight="12.75" outlineLevelRow="1"/>
  <cols>
    <col min="1" max="1" width="9.5" style="2"/>
    <col min="2" max="2" width="22.5" style="2" customWidth="1"/>
    <col min="3" max="3" width="24" style="2" customWidth="1"/>
    <col min="4" max="4" width="20" style="2" bestFit="1" customWidth="1"/>
    <col min="5" max="5" width="15" style="2" customWidth="1"/>
    <col min="6" max="6" width="13.83203125" style="2" customWidth="1"/>
    <col min="7" max="7" width="14" style="2" customWidth="1"/>
    <col min="8" max="8" width="19.5" style="2" bestFit="1" customWidth="1"/>
    <col min="9" max="14" width="13" style="2" customWidth="1"/>
    <col min="15" max="15" width="9.5" style="2"/>
    <col min="19" max="16384" width="9.5" style="2"/>
  </cols>
  <sheetData>
    <row r="1" spans="1:19">
      <c r="A1" s="3" t="str">
        <f>Introduction!A1</f>
        <v>Problem Solving with Excel</v>
      </c>
    </row>
    <row r="2" spans="1:19">
      <c r="A2" s="3" t="str">
        <f>Introduction!A2</f>
        <v>Week 3</v>
      </c>
    </row>
    <row r="3" spans="1:19">
      <c r="A3" s="3" t="str">
        <f>Introduction!A3</f>
        <v>Logical Functions</v>
      </c>
    </row>
    <row r="4" spans="1:19">
      <c r="A4" s="3" t="s">
        <v>321</v>
      </c>
    </row>
    <row r="5" spans="1:19">
      <c r="S5" s="6"/>
    </row>
    <row r="7" spans="1:19" ht="18.75">
      <c r="B7" s="5" t="s">
        <v>360</v>
      </c>
    </row>
    <row r="8" spans="1:19" outlineLevel="1"/>
    <row r="9" spans="1:19" ht="18.75" outlineLevel="1">
      <c r="B9" s="22" t="s">
        <v>342</v>
      </c>
    </row>
    <row r="10" spans="1:19" ht="13.5" outlineLevel="1" thickBot="1"/>
    <row r="11" spans="1:19" ht="15.75" outlineLevel="1" thickBot="1">
      <c r="B11" s="54" t="s">
        <v>12</v>
      </c>
      <c r="C11" s="54" t="s">
        <v>270</v>
      </c>
      <c r="D11" s="54" t="s">
        <v>271</v>
      </c>
      <c r="E11" s="54" t="s">
        <v>17</v>
      </c>
      <c r="F11" s="54" t="s">
        <v>260</v>
      </c>
      <c r="G11" s="54" t="s">
        <v>10</v>
      </c>
      <c r="H11" s="67" t="s">
        <v>261</v>
      </c>
      <c r="I11" s="6"/>
      <c r="J11" s="6"/>
      <c r="K11" s="6"/>
      <c r="L11" s="6"/>
      <c r="M11" s="6"/>
      <c r="N11" s="6"/>
    </row>
    <row r="12" spans="1:19" outlineLevel="1">
      <c r="B12" s="56" t="s">
        <v>27</v>
      </c>
      <c r="C12" s="56" t="s">
        <v>272</v>
      </c>
      <c r="D12" s="56" t="s">
        <v>273</v>
      </c>
      <c r="E12" s="57">
        <v>1000</v>
      </c>
      <c r="F12" s="61">
        <v>10</v>
      </c>
      <c r="G12" s="58" t="s">
        <v>75</v>
      </c>
      <c r="H12" s="89" t="str">
        <f t="shared" ref="H12:H16" si="0">IF(B12="online",D12,IF(E12&lt;500,C12,""))</f>
        <v/>
      </c>
      <c r="I12" s="6"/>
      <c r="J12" s="6"/>
      <c r="K12" s="6"/>
      <c r="L12" s="6"/>
      <c r="M12" s="6"/>
      <c r="N12" s="6"/>
    </row>
    <row r="13" spans="1:19" outlineLevel="1">
      <c r="B13" s="56" t="s">
        <v>21</v>
      </c>
      <c r="C13" s="56" t="s">
        <v>274</v>
      </c>
      <c r="D13" s="56" t="s">
        <v>275</v>
      </c>
      <c r="E13" s="57">
        <v>2500</v>
      </c>
      <c r="F13" s="61">
        <v>5</v>
      </c>
      <c r="G13" s="58" t="s">
        <v>29</v>
      </c>
      <c r="H13" s="89" t="str">
        <f t="shared" si="0"/>
        <v>Commodities</v>
      </c>
      <c r="I13" s="6"/>
      <c r="J13" s="6"/>
      <c r="K13" s="6"/>
      <c r="L13" s="6"/>
      <c r="M13" s="6"/>
      <c r="N13" s="6"/>
    </row>
    <row r="14" spans="1:19" outlineLevel="1">
      <c r="B14" s="56" t="s">
        <v>21</v>
      </c>
      <c r="C14" s="56" t="s">
        <v>276</v>
      </c>
      <c r="D14" s="56" t="s">
        <v>277</v>
      </c>
      <c r="E14" s="57">
        <v>750</v>
      </c>
      <c r="F14" s="61">
        <v>7</v>
      </c>
      <c r="G14" s="58" t="s">
        <v>19</v>
      </c>
      <c r="H14" s="89" t="str">
        <f t="shared" si="0"/>
        <v>Leisure</v>
      </c>
      <c r="I14" s="6"/>
      <c r="J14" s="6"/>
      <c r="K14" s="6"/>
      <c r="L14" s="6"/>
      <c r="M14" s="6"/>
      <c r="N14" s="6"/>
    </row>
    <row r="15" spans="1:19" outlineLevel="1">
      <c r="B15" s="56" t="s">
        <v>24</v>
      </c>
      <c r="C15" s="56" t="s">
        <v>278</v>
      </c>
      <c r="D15" s="56" t="s">
        <v>279</v>
      </c>
      <c r="E15" s="57">
        <v>1152</v>
      </c>
      <c r="F15" s="61">
        <v>8</v>
      </c>
      <c r="G15" s="58" t="s">
        <v>280</v>
      </c>
      <c r="H15" s="89" t="str">
        <f t="shared" si="0"/>
        <v/>
      </c>
      <c r="I15" s="6"/>
      <c r="J15" s="6"/>
      <c r="K15" s="6"/>
      <c r="L15" s="6"/>
      <c r="M15" s="6"/>
      <c r="N15" s="6"/>
    </row>
    <row r="16" spans="1:19" outlineLevel="1">
      <c r="B16" s="68" t="s">
        <v>27</v>
      </c>
      <c r="C16" s="68" t="s">
        <v>281</v>
      </c>
      <c r="D16" s="68" t="s">
        <v>273</v>
      </c>
      <c r="E16" s="69">
        <v>345</v>
      </c>
      <c r="F16" s="79">
        <v>3</v>
      </c>
      <c r="G16" s="70" t="s">
        <v>176</v>
      </c>
      <c r="H16" s="89" t="str">
        <f t="shared" si="0"/>
        <v>Infinity Trucking</v>
      </c>
      <c r="I16" s="6"/>
      <c r="J16" s="6"/>
      <c r="K16" s="6"/>
      <c r="L16" s="6"/>
      <c r="M16" s="6"/>
      <c r="N16" s="6"/>
    </row>
    <row r="17" spans="2:14" outlineLevel="1"/>
    <row r="18" spans="2:14" outlineLevel="1"/>
    <row r="19" spans="2:14" outlineLevel="1"/>
    <row r="20" spans="2:14" outlineLevel="1"/>
    <row r="21" spans="2:14" outlineLevel="1"/>
    <row r="22" spans="2:14" ht="18.75">
      <c r="B22" s="5" t="s">
        <v>361</v>
      </c>
    </row>
    <row r="23" spans="2:14" outlineLevel="1"/>
    <row r="24" spans="2:14" ht="34.5" customHeight="1" outlineLevel="1">
      <c r="B24" s="113" t="s">
        <v>294</v>
      </c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</row>
    <row r="25" spans="2:14" outlineLevel="1"/>
    <row r="26" spans="2:14" ht="15" outlineLevel="1">
      <c r="B26" s="52" t="s">
        <v>258</v>
      </c>
      <c r="C26" s="53">
        <v>1000</v>
      </c>
    </row>
    <row r="27" spans="2:14" outlineLevel="1">
      <c r="I27" s="6"/>
      <c r="J27" s="6"/>
      <c r="K27" s="6"/>
      <c r="L27" s="6"/>
      <c r="M27" s="6"/>
      <c r="N27" s="6"/>
    </row>
    <row r="28" spans="2:14" ht="15" outlineLevel="1">
      <c r="B28" s="52" t="s">
        <v>268</v>
      </c>
      <c r="C28" s="60">
        <v>5</v>
      </c>
      <c r="I28" s="6"/>
      <c r="J28" s="6"/>
      <c r="K28" s="6"/>
      <c r="L28" s="6"/>
      <c r="M28" s="6"/>
      <c r="N28" s="6"/>
    </row>
    <row r="29" spans="2:14" ht="13.5" outlineLevel="1" thickBot="1">
      <c r="I29" s="6"/>
      <c r="J29" s="6"/>
      <c r="K29" s="6"/>
      <c r="L29" s="6"/>
      <c r="M29" s="6"/>
      <c r="N29" s="6"/>
    </row>
    <row r="30" spans="2:14" ht="15.75" outlineLevel="1" thickBot="1">
      <c r="B30" s="54" t="s">
        <v>12</v>
      </c>
      <c r="C30" s="54" t="s">
        <v>270</v>
      </c>
      <c r="D30" s="54" t="s">
        <v>271</v>
      </c>
      <c r="E30" s="54" t="s">
        <v>17</v>
      </c>
      <c r="F30" s="54" t="s">
        <v>260</v>
      </c>
      <c r="G30" s="54" t="s">
        <v>10</v>
      </c>
      <c r="H30" s="67" t="s">
        <v>261</v>
      </c>
      <c r="I30" s="6"/>
      <c r="J30" s="6"/>
      <c r="K30" s="6"/>
      <c r="L30" s="6"/>
      <c r="M30" s="6"/>
      <c r="N30" s="6"/>
    </row>
    <row r="31" spans="2:14" outlineLevel="1">
      <c r="B31" s="56" t="s">
        <v>27</v>
      </c>
      <c r="C31" s="56" t="s">
        <v>272</v>
      </c>
      <c r="D31" s="56" t="s">
        <v>273</v>
      </c>
      <c r="E31" s="57">
        <v>1000</v>
      </c>
      <c r="F31" s="61">
        <v>10</v>
      </c>
      <c r="G31" s="58" t="s">
        <v>75</v>
      </c>
      <c r="H31" s="89" t="str">
        <f t="shared" ref="H31:H35" si="1">IF(AND(E31&gt;=$C$26,F31&gt;=$C$28),C31,IF(OR(E31&gt;=$C$26,F31&gt;=$C$28),D31,"Neither"))</f>
        <v>The Distribution Group</v>
      </c>
      <c r="I31" s="6"/>
      <c r="J31" s="6"/>
      <c r="K31" s="6"/>
      <c r="L31" s="6"/>
      <c r="M31" s="6"/>
      <c r="N31" s="6"/>
    </row>
    <row r="32" spans="2:14" outlineLevel="1">
      <c r="B32" s="56" t="s">
        <v>21</v>
      </c>
      <c r="C32" s="56" t="s">
        <v>274</v>
      </c>
      <c r="D32" s="56" t="s">
        <v>275</v>
      </c>
      <c r="E32" s="57">
        <v>2500</v>
      </c>
      <c r="F32" s="61">
        <v>5</v>
      </c>
      <c r="G32" s="58" t="s">
        <v>29</v>
      </c>
      <c r="H32" s="89" t="str">
        <f t="shared" si="1"/>
        <v>Distributors R Us</v>
      </c>
    </row>
    <row r="33" spans="2:8" outlineLevel="1">
      <c r="B33" s="56" t="s">
        <v>21</v>
      </c>
      <c r="C33" s="56" t="s">
        <v>276</v>
      </c>
      <c r="D33" s="56" t="s">
        <v>277</v>
      </c>
      <c r="E33" s="57">
        <v>750</v>
      </c>
      <c r="F33" s="61">
        <v>7</v>
      </c>
      <c r="G33" s="58" t="s">
        <v>19</v>
      </c>
      <c r="H33" s="89" t="str">
        <f t="shared" si="1"/>
        <v>Leisure</v>
      </c>
    </row>
    <row r="34" spans="2:8" outlineLevel="1">
      <c r="B34" s="56" t="s">
        <v>24</v>
      </c>
      <c r="C34" s="56" t="s">
        <v>278</v>
      </c>
      <c r="D34" s="56" t="s">
        <v>279</v>
      </c>
      <c r="E34" s="57">
        <v>1152</v>
      </c>
      <c r="F34" s="61">
        <v>8</v>
      </c>
      <c r="G34" s="58" t="s">
        <v>280</v>
      </c>
      <c r="H34" s="89" t="str">
        <f t="shared" si="1"/>
        <v>Freight Away</v>
      </c>
    </row>
    <row r="35" spans="2:8" outlineLevel="1">
      <c r="B35" s="68" t="s">
        <v>27</v>
      </c>
      <c r="C35" s="68" t="s">
        <v>281</v>
      </c>
      <c r="D35" s="68" t="s">
        <v>273</v>
      </c>
      <c r="E35" s="69">
        <v>345</v>
      </c>
      <c r="F35" s="79">
        <v>3</v>
      </c>
      <c r="G35" s="70" t="s">
        <v>176</v>
      </c>
      <c r="H35" s="90" t="str">
        <f t="shared" si="1"/>
        <v>Neither</v>
      </c>
    </row>
    <row r="36" spans="2:8" outlineLevel="1"/>
    <row r="37" spans="2:8" outlineLevel="1"/>
    <row r="38" spans="2:8" outlineLevel="1"/>
    <row r="39" spans="2:8" outlineLevel="1"/>
    <row r="40" spans="2:8" outlineLevel="1"/>
    <row r="41" spans="2:8" outlineLevel="1"/>
    <row r="42" spans="2:8" ht="18.75">
      <c r="B42" s="5"/>
    </row>
    <row r="43" spans="2:8" hidden="1" outlineLevel="1"/>
    <row r="44" spans="2:8" hidden="1" outlineLevel="1"/>
    <row r="45" spans="2:8" hidden="1" outlineLevel="1"/>
    <row r="46" spans="2:8" hidden="1" outlineLevel="1"/>
    <row r="47" spans="2:8" hidden="1" outlineLevel="1"/>
    <row r="48" spans="2:8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75" collapsed="1">
      <c r="B67" s="5"/>
    </row>
    <row r="1048576" spans="3:3">
      <c r="C1048576" s="56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if_answer_7">
                <anchor moveWithCells="1" sizeWithCells="1">
                  <from>
                    <xdr:col>7</xdr:col>
                    <xdr:colOff>371475</xdr:colOff>
                    <xdr:row>18</xdr:row>
                    <xdr:rowOff>38100</xdr:rowOff>
                  </from>
                  <to>
                    <xdr:col>9</xdr:col>
                    <xdr:colOff>47625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ThisWorkbook.if_answer_8">
                <anchor moveWithCells="1" sizeWithCells="1">
                  <from>
                    <xdr:col>8</xdr:col>
                    <xdr:colOff>228600</xdr:colOff>
                    <xdr:row>32</xdr:row>
                    <xdr:rowOff>9525</xdr:rowOff>
                  </from>
                  <to>
                    <xdr:col>10</xdr:col>
                    <xdr:colOff>152400</xdr:colOff>
                    <xdr:row>34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5" tint="0.39997558519241921"/>
  </sheetPr>
  <dimension ref="A1:N1048576"/>
  <sheetViews>
    <sheetView showGridLines="0" topLeftCell="A19" zoomScale="80" workbookViewId="0">
      <selection activeCell="I33" sqref="I33"/>
    </sheetView>
  </sheetViews>
  <sheetFormatPr defaultColWidth="9.5" defaultRowHeight="12.75" outlineLevelRow="1"/>
  <cols>
    <col min="1" max="1" width="9.5" style="2"/>
    <col min="2" max="2" width="22.5" style="2" customWidth="1"/>
    <col min="3" max="3" width="24" style="2" customWidth="1"/>
    <col min="4" max="4" width="20" style="2" bestFit="1" customWidth="1"/>
    <col min="5" max="5" width="13.83203125" style="2" bestFit="1" customWidth="1"/>
    <col min="6" max="6" width="13.83203125" style="2" customWidth="1"/>
    <col min="7" max="7" width="12.5" style="2" bestFit="1" customWidth="1"/>
    <col min="8" max="8" width="19.5" style="2" bestFit="1" customWidth="1"/>
    <col min="9" max="14" width="13" style="2" customWidth="1"/>
    <col min="15" max="16384" width="9.5" style="2"/>
  </cols>
  <sheetData>
    <row r="1" spans="1:14">
      <c r="A1" s="3" t="str">
        <f>Introduction!A1</f>
        <v>Problem Solving with Excel</v>
      </c>
    </row>
    <row r="2" spans="1:14">
      <c r="A2" s="3" t="str">
        <f>Introduction!A2</f>
        <v>Week 3</v>
      </c>
    </row>
    <row r="3" spans="1:14">
      <c r="A3" s="3" t="str">
        <f>Introduction!A3</f>
        <v>Logical Functions</v>
      </c>
    </row>
    <row r="4" spans="1:14">
      <c r="A4" s="3" t="s">
        <v>322</v>
      </c>
    </row>
    <row r="7" spans="1:14" ht="18.75">
      <c r="B7" s="5" t="s">
        <v>360</v>
      </c>
    </row>
    <row r="8" spans="1:14" outlineLevel="1"/>
    <row r="9" spans="1:14" ht="18.75" outlineLevel="1">
      <c r="B9" s="22" t="s">
        <v>342</v>
      </c>
    </row>
    <row r="10" spans="1:14" ht="13.5" outlineLevel="1" thickBot="1"/>
    <row r="11" spans="1:14" ht="15.75" outlineLevel="1" thickBot="1">
      <c r="B11" s="54" t="s">
        <v>269</v>
      </c>
      <c r="C11" s="54" t="s">
        <v>270</v>
      </c>
      <c r="D11" s="54" t="s">
        <v>271</v>
      </c>
      <c r="E11" s="54" t="s">
        <v>17</v>
      </c>
      <c r="F11" s="54" t="s">
        <v>260</v>
      </c>
      <c r="G11" s="54" t="s">
        <v>10</v>
      </c>
      <c r="H11" s="55" t="s">
        <v>261</v>
      </c>
      <c r="I11" s="6"/>
      <c r="J11" s="6"/>
      <c r="K11" s="6"/>
      <c r="L11" s="6"/>
      <c r="M11" s="6"/>
      <c r="N11" s="6"/>
    </row>
    <row r="12" spans="1:14" outlineLevel="1">
      <c r="B12" s="56" t="s">
        <v>27</v>
      </c>
      <c r="C12" s="56" t="s">
        <v>272</v>
      </c>
      <c r="D12" s="56" t="s">
        <v>273</v>
      </c>
      <c r="E12" s="57">
        <v>1000</v>
      </c>
      <c r="F12" s="61">
        <v>10</v>
      </c>
      <c r="G12" s="58" t="s">
        <v>75</v>
      </c>
      <c r="H12" s="59" t="str">
        <f>IF(B12="Online",D12,IF(E12&lt;500,C12,""))</f>
        <v/>
      </c>
      <c r="I12" s="6"/>
      <c r="J12" s="6"/>
      <c r="K12" s="6"/>
      <c r="L12" s="6"/>
      <c r="M12" s="6"/>
      <c r="N12" s="6"/>
    </row>
    <row r="13" spans="1:14" outlineLevel="1">
      <c r="B13" s="56" t="s">
        <v>21</v>
      </c>
      <c r="C13" s="56" t="s">
        <v>274</v>
      </c>
      <c r="D13" s="56" t="s">
        <v>275</v>
      </c>
      <c r="E13" s="57">
        <v>2500</v>
      </c>
      <c r="F13" s="61">
        <v>5</v>
      </c>
      <c r="G13" s="58" t="s">
        <v>29</v>
      </c>
      <c r="H13" s="59" t="str">
        <f>IF(B13="Online",D13,IF(E13&lt;500,C13,""))</f>
        <v>Commodities</v>
      </c>
      <c r="I13" s="6"/>
      <c r="J13" s="6"/>
      <c r="K13" s="6"/>
      <c r="L13" s="6"/>
      <c r="M13" s="6"/>
      <c r="N13" s="6"/>
    </row>
    <row r="14" spans="1:14" outlineLevel="1">
      <c r="B14" s="56" t="s">
        <v>21</v>
      </c>
      <c r="C14" s="56" t="s">
        <v>276</v>
      </c>
      <c r="D14" s="56" t="s">
        <v>277</v>
      </c>
      <c r="E14" s="57">
        <v>750</v>
      </c>
      <c r="F14" s="61">
        <v>7</v>
      </c>
      <c r="G14" s="58" t="s">
        <v>19</v>
      </c>
      <c r="H14" s="59" t="str">
        <f>IF(B14="Online",D14,IF(E14&lt;500,C14,""))</f>
        <v>Leisure</v>
      </c>
      <c r="I14" s="6"/>
      <c r="J14" s="6"/>
      <c r="K14" s="6"/>
      <c r="L14" s="6"/>
      <c r="M14" s="6"/>
      <c r="N14" s="6"/>
    </row>
    <row r="15" spans="1:14" outlineLevel="1">
      <c r="B15" s="56" t="s">
        <v>24</v>
      </c>
      <c r="C15" s="56" t="s">
        <v>278</v>
      </c>
      <c r="D15" s="56" t="s">
        <v>279</v>
      </c>
      <c r="E15" s="57">
        <v>1152</v>
      </c>
      <c r="F15" s="61">
        <v>8</v>
      </c>
      <c r="G15" s="58" t="s">
        <v>280</v>
      </c>
      <c r="H15" s="59" t="str">
        <f>IF(B15="Online",D15,IF(E15&lt;500,C15,""))</f>
        <v/>
      </c>
      <c r="I15" s="6"/>
      <c r="J15" s="6"/>
      <c r="K15" s="6"/>
      <c r="L15" s="6"/>
      <c r="M15" s="6"/>
      <c r="N15" s="6"/>
    </row>
    <row r="16" spans="1:14" outlineLevel="1">
      <c r="B16" s="56" t="s">
        <v>27</v>
      </c>
      <c r="C16" s="56" t="s">
        <v>281</v>
      </c>
      <c r="D16" s="56" t="s">
        <v>273</v>
      </c>
      <c r="E16" s="57">
        <v>345</v>
      </c>
      <c r="F16" s="61">
        <v>3</v>
      </c>
      <c r="G16" s="58" t="s">
        <v>176</v>
      </c>
      <c r="H16" s="59" t="str">
        <f>IF(B16="Online",D16,IF(E16&lt;500,C16,""))</f>
        <v>Infinity Trucking</v>
      </c>
      <c r="I16" s="6"/>
      <c r="J16" s="6"/>
      <c r="K16" s="6"/>
      <c r="L16" s="6"/>
      <c r="M16" s="6"/>
      <c r="N16" s="6"/>
    </row>
    <row r="17" spans="2:14" outlineLevel="1"/>
    <row r="18" spans="2:14" outlineLevel="1"/>
    <row r="19" spans="2:14" outlineLevel="1"/>
    <row r="20" spans="2:14" outlineLevel="1"/>
    <row r="21" spans="2:14" outlineLevel="1"/>
    <row r="22" spans="2:14" ht="18.75">
      <c r="B22" s="5" t="s">
        <v>361</v>
      </c>
    </row>
    <row r="23" spans="2:14" outlineLevel="1"/>
    <row r="24" spans="2:14" ht="34.5" customHeight="1" outlineLevel="1">
      <c r="B24" s="113" t="s">
        <v>294</v>
      </c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</row>
    <row r="25" spans="2:14" outlineLevel="1"/>
    <row r="26" spans="2:14" ht="15" outlineLevel="1">
      <c r="B26" s="52" t="s">
        <v>258</v>
      </c>
      <c r="C26" s="53">
        <v>1000</v>
      </c>
    </row>
    <row r="27" spans="2:14" outlineLevel="1">
      <c r="I27" s="6"/>
      <c r="J27" s="6"/>
      <c r="K27" s="6"/>
      <c r="L27" s="6"/>
      <c r="M27" s="6"/>
      <c r="N27" s="6"/>
    </row>
    <row r="28" spans="2:14" ht="15" outlineLevel="1">
      <c r="B28" s="52" t="s">
        <v>268</v>
      </c>
      <c r="C28" s="60">
        <v>5</v>
      </c>
      <c r="I28" s="6"/>
      <c r="J28" s="6"/>
      <c r="K28" s="6"/>
      <c r="L28" s="6"/>
      <c r="M28" s="6"/>
      <c r="N28" s="6"/>
    </row>
    <row r="29" spans="2:14" ht="13.5" outlineLevel="1" thickBot="1">
      <c r="I29" s="6"/>
      <c r="J29" s="6"/>
      <c r="K29" s="6"/>
      <c r="L29" s="6"/>
      <c r="M29" s="6"/>
      <c r="N29" s="6"/>
    </row>
    <row r="30" spans="2:14" ht="15.75" outlineLevel="1" thickBot="1">
      <c r="B30" s="54" t="s">
        <v>269</v>
      </c>
      <c r="C30" s="54" t="s">
        <v>270</v>
      </c>
      <c r="D30" s="54" t="s">
        <v>271</v>
      </c>
      <c r="E30" s="54" t="s">
        <v>17</v>
      </c>
      <c r="F30" s="54" t="s">
        <v>260</v>
      </c>
      <c r="G30" s="54" t="s">
        <v>10</v>
      </c>
      <c r="H30" s="55" t="s">
        <v>261</v>
      </c>
      <c r="I30" s="6"/>
      <c r="J30" s="6"/>
      <c r="K30" s="6"/>
      <c r="L30" s="6"/>
      <c r="M30" s="6"/>
      <c r="N30" s="6"/>
    </row>
    <row r="31" spans="2:14" outlineLevel="1">
      <c r="B31" s="56" t="s">
        <v>27</v>
      </c>
      <c r="C31" s="56" t="s">
        <v>272</v>
      </c>
      <c r="D31" s="56" t="s">
        <v>273</v>
      </c>
      <c r="E31" s="57">
        <v>1000</v>
      </c>
      <c r="F31" s="61">
        <v>10</v>
      </c>
      <c r="G31" s="58" t="s">
        <v>75</v>
      </c>
      <c r="H31" s="59" t="str">
        <f>IF(AND(F31&gt;=$C$28,E31&gt;=$C$26),C31,IF(OR(F31&gt;$C$28,E31&gt;$C$26),D31,"Neither"))</f>
        <v>The Distribution Group</v>
      </c>
      <c r="I31" s="6"/>
      <c r="J31" s="6"/>
      <c r="K31" s="6"/>
      <c r="L31" s="6"/>
      <c r="M31" s="6"/>
      <c r="N31" s="6"/>
    </row>
    <row r="32" spans="2:14" outlineLevel="1">
      <c r="B32" s="56" t="s">
        <v>21</v>
      </c>
      <c r="C32" s="56" t="s">
        <v>274</v>
      </c>
      <c r="D32" s="56" t="s">
        <v>275</v>
      </c>
      <c r="E32" s="57">
        <v>2500</v>
      </c>
      <c r="F32" s="61">
        <v>5</v>
      </c>
      <c r="G32" s="58" t="s">
        <v>29</v>
      </c>
      <c r="H32" s="59" t="str">
        <f t="shared" ref="H32:H35" si="0">IF(AND(F32&gt;=$C$28,E32&gt;=$C$26),C32,IF(OR(F32&gt;$C$28,E32&gt;$C$26),D32,"Neither"))</f>
        <v>Distributors R Us</v>
      </c>
    </row>
    <row r="33" spans="2:8" outlineLevel="1">
      <c r="B33" s="56" t="s">
        <v>21</v>
      </c>
      <c r="C33" s="56" t="s">
        <v>276</v>
      </c>
      <c r="D33" s="56" t="s">
        <v>277</v>
      </c>
      <c r="E33" s="57">
        <v>750</v>
      </c>
      <c r="F33" s="61">
        <v>7</v>
      </c>
      <c r="G33" s="58" t="s">
        <v>19</v>
      </c>
      <c r="H33" s="59" t="str">
        <f t="shared" si="0"/>
        <v>Leisure</v>
      </c>
    </row>
    <row r="34" spans="2:8" outlineLevel="1">
      <c r="B34" s="56" t="s">
        <v>24</v>
      </c>
      <c r="C34" s="56" t="s">
        <v>278</v>
      </c>
      <c r="D34" s="56" t="s">
        <v>279</v>
      </c>
      <c r="E34" s="57">
        <v>1152</v>
      </c>
      <c r="F34" s="61">
        <v>8</v>
      </c>
      <c r="G34" s="58" t="s">
        <v>280</v>
      </c>
      <c r="H34" s="59" t="str">
        <f t="shared" si="0"/>
        <v>Freight Away</v>
      </c>
    </row>
    <row r="35" spans="2:8" outlineLevel="1">
      <c r="B35" s="56" t="s">
        <v>27</v>
      </c>
      <c r="C35" s="56" t="s">
        <v>281</v>
      </c>
      <c r="D35" s="56" t="s">
        <v>273</v>
      </c>
      <c r="E35" s="57">
        <v>345</v>
      </c>
      <c r="F35" s="61">
        <v>3</v>
      </c>
      <c r="G35" s="58" t="s">
        <v>176</v>
      </c>
      <c r="H35" s="59" t="str">
        <f t="shared" si="0"/>
        <v>Neither</v>
      </c>
    </row>
    <row r="36" spans="2:8" outlineLevel="1"/>
    <row r="37" spans="2:8" outlineLevel="1"/>
    <row r="38" spans="2:8" outlineLevel="1"/>
    <row r="39" spans="2:8" outlineLevel="1"/>
    <row r="40" spans="2:8" outlineLevel="1"/>
    <row r="41" spans="2:8" outlineLevel="1"/>
    <row r="42" spans="2:8" ht="18.75">
      <c r="B42" s="5"/>
    </row>
    <row r="43" spans="2:8" outlineLevel="1"/>
    <row r="44" spans="2:8" outlineLevel="1"/>
    <row r="45" spans="2:8" outlineLevel="1"/>
    <row r="46" spans="2:8" outlineLevel="1"/>
    <row r="47" spans="2:8" outlineLevel="1"/>
    <row r="48" spans="2:8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  <row r="1048576" spans="3:3">
      <c r="C1048576" s="56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ThisWorkbook.if_problem_7">
                <anchor moveWithCells="1" sizeWithCells="1">
                  <from>
                    <xdr:col>7</xdr:col>
                    <xdr:colOff>962025</xdr:colOff>
                    <xdr:row>17</xdr:row>
                    <xdr:rowOff>114300</xdr:rowOff>
                  </from>
                  <to>
                    <xdr:col>9</xdr:col>
                    <xdr:colOff>523875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ThisWorkbook.if_problem_8">
                <anchor moveWithCells="1" sizeWithCells="1">
                  <from>
                    <xdr:col>8</xdr:col>
                    <xdr:colOff>228600</xdr:colOff>
                    <xdr:row>31</xdr:row>
                    <xdr:rowOff>38100</xdr:rowOff>
                  </from>
                  <to>
                    <xdr:col>9</xdr:col>
                    <xdr:colOff>533400</xdr:colOff>
                    <xdr:row>33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Introduction</vt:lpstr>
      <vt:lpstr>Table of Contents</vt:lpstr>
      <vt:lpstr>Data Set</vt:lpstr>
      <vt:lpstr>Section 1 - COUNTIFS</vt:lpstr>
      <vt:lpstr>Section 1 - COUNTIFS (ANS)</vt:lpstr>
      <vt:lpstr>Section 2 - COUNTIFS (cont'd)</vt:lpstr>
      <vt:lpstr>Section 2 - COUNTIFS (ANS)</vt:lpstr>
      <vt:lpstr>Section 3 - SUMIFS</vt:lpstr>
      <vt:lpstr>Section 3 - SUMIFS (ANS)</vt:lpstr>
      <vt:lpstr>Section 4 - SUMIFS (cont'd)</vt:lpstr>
      <vt:lpstr>Section 4 - SUMIFS (ANS)</vt:lpstr>
      <vt:lpstr>Section 5 - IF</vt:lpstr>
      <vt:lpstr>Section 5 - IF (ANS)</vt:lpstr>
      <vt:lpstr>Section 6 - IF + AND</vt:lpstr>
      <vt:lpstr>Section 6 - IF + AND (ANS)</vt:lpstr>
      <vt:lpstr>Section 7 - IF + OR</vt:lpstr>
      <vt:lpstr>Section 7 - IF + OR (ANS)</vt:lpstr>
      <vt:lpstr>Section 8 - Nested IFs</vt:lpstr>
      <vt:lpstr>Section 8 - Nested IFs (ANS)</vt:lpstr>
      <vt:lpstr>D1_Quantity_Sold</vt:lpstr>
      <vt:lpstr>D1_Revenue</vt:lpstr>
      <vt:lpstr>DataSet</vt:lpstr>
      <vt:lpstr>Sales_Data</vt:lpstr>
      <vt:lpstr>table_problem1B_distributors</vt:lpstr>
      <vt:lpstr>target_price</vt:lpstr>
      <vt:lpstr>target_revenue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dell</cp:lastModifiedBy>
  <dcterms:created xsi:type="dcterms:W3CDTF">2016-06-22T22:01:00Z</dcterms:created>
  <dcterms:modified xsi:type="dcterms:W3CDTF">2020-06-01T15:14:57Z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