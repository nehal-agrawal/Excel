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agrawal.palak\Desktop\Nehal\"/>
    </mc:Choice>
  </mc:AlternateContent>
  <bookViews>
    <workbookView xWindow="0" yWindow="0" windowWidth="20490" windowHeight="7620" activeTab="1"/>
  </bookViews>
  <sheets>
    <sheet name="Cover Page" sheetId="1" r:id="rId1"/>
    <sheet name="Question" sheetId="14" r:id="rId2"/>
    <sheet name="Question_Ans" sheetId="7" state="hidden" r:id="rId3"/>
  </sheets>
  <externalReferences>
    <externalReference r:id="rId4"/>
  </externalReferences>
  <definedNames>
    <definedName name="Country">'[1]Data Set'!$F$9:$F$32</definedName>
    <definedName name="revenue_combination">Question!$H$22:$R$42</definedName>
    <definedName name="Revenue_Combinations">Question!$B$21:$B$42</definedName>
    <definedName name="Revenue_Combinations_Ans" localSheetId="1">Question!$H$22:$R$42</definedName>
    <definedName name="Revenue_Combinations_Ans">Question_Ans!$H$22:$R$42</definedName>
  </definedNames>
  <calcPr calcId="162913"/>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D56" i="14" l="1"/>
  <c r="D55" i="14"/>
  <c r="D54" i="14"/>
  <c r="H22" i="14"/>
  <c r="I22" i="14"/>
  <c r="J22" i="14"/>
  <c r="K22" i="14"/>
  <c r="L22" i="14"/>
  <c r="M22" i="14"/>
  <c r="N22" i="14"/>
  <c r="O22" i="14"/>
  <c r="P22" i="14"/>
  <c r="Q22" i="14"/>
  <c r="R22" i="14"/>
  <c r="H23" i="14"/>
  <c r="I23" i="14"/>
  <c r="J23" i="14"/>
  <c r="K23" i="14"/>
  <c r="L23" i="14"/>
  <c r="M23" i="14"/>
  <c r="N23" i="14"/>
  <c r="O23" i="14"/>
  <c r="P23" i="14"/>
  <c r="Q23" i="14"/>
  <c r="R23" i="14"/>
  <c r="H24" i="14"/>
  <c r="I24" i="14"/>
  <c r="J24" i="14"/>
  <c r="K24" i="14"/>
  <c r="L24" i="14"/>
  <c r="M24" i="14"/>
  <c r="N24" i="14"/>
  <c r="O24" i="14"/>
  <c r="P24" i="14"/>
  <c r="Q24" i="14"/>
  <c r="R24" i="14"/>
  <c r="H25" i="14"/>
  <c r="I25" i="14"/>
  <c r="J25" i="14"/>
  <c r="K25" i="14"/>
  <c r="L25" i="14"/>
  <c r="M25" i="14"/>
  <c r="N25" i="14"/>
  <c r="O25" i="14"/>
  <c r="P25" i="14"/>
  <c r="Q25" i="14"/>
  <c r="R25" i="14"/>
  <c r="H26" i="14"/>
  <c r="I26" i="14"/>
  <c r="J26" i="14"/>
  <c r="K26" i="14"/>
  <c r="L26" i="14"/>
  <c r="M26" i="14"/>
  <c r="N26" i="14"/>
  <c r="O26" i="14"/>
  <c r="P26" i="14"/>
  <c r="Q26" i="14"/>
  <c r="R26" i="14"/>
  <c r="H27" i="14"/>
  <c r="I27" i="14"/>
  <c r="J27" i="14"/>
  <c r="K27" i="14"/>
  <c r="L27" i="14"/>
  <c r="M27" i="14"/>
  <c r="N27" i="14"/>
  <c r="O27" i="14"/>
  <c r="P27" i="14"/>
  <c r="Q27" i="14"/>
  <c r="R27" i="14"/>
  <c r="H28" i="14"/>
  <c r="I28" i="14"/>
  <c r="J28" i="14"/>
  <c r="K28" i="14"/>
  <c r="L28" i="14"/>
  <c r="M28" i="14"/>
  <c r="N28" i="14"/>
  <c r="O28" i="14"/>
  <c r="P28" i="14"/>
  <c r="Q28" i="14"/>
  <c r="R28" i="14"/>
  <c r="H29" i="14"/>
  <c r="I29" i="14"/>
  <c r="J29" i="14"/>
  <c r="K29" i="14"/>
  <c r="L29" i="14"/>
  <c r="M29" i="14"/>
  <c r="N29" i="14"/>
  <c r="O29" i="14"/>
  <c r="P29" i="14"/>
  <c r="Q29" i="14"/>
  <c r="R29" i="14"/>
  <c r="H30" i="14"/>
  <c r="I30" i="14"/>
  <c r="J30" i="14"/>
  <c r="K30" i="14"/>
  <c r="L30" i="14"/>
  <c r="M30" i="14"/>
  <c r="N30" i="14"/>
  <c r="O30" i="14"/>
  <c r="P30" i="14"/>
  <c r="Q30" i="14"/>
  <c r="R30" i="14"/>
  <c r="H31" i="14"/>
  <c r="I31" i="14"/>
  <c r="J31" i="14"/>
  <c r="K31" i="14"/>
  <c r="L31" i="14"/>
  <c r="M31" i="14"/>
  <c r="N31" i="14"/>
  <c r="O31" i="14"/>
  <c r="P31" i="14"/>
  <c r="Q31" i="14"/>
  <c r="R31" i="14"/>
  <c r="H32" i="14"/>
  <c r="I32" i="14"/>
  <c r="J32" i="14"/>
  <c r="K32" i="14"/>
  <c r="L32" i="14"/>
  <c r="M32" i="14"/>
  <c r="N32" i="14"/>
  <c r="O32" i="14"/>
  <c r="P32" i="14"/>
  <c r="Q32" i="14"/>
  <c r="R32" i="14"/>
  <c r="H33" i="14"/>
  <c r="I33" i="14"/>
  <c r="J33" i="14"/>
  <c r="K33" i="14"/>
  <c r="L33" i="14"/>
  <c r="M33" i="14"/>
  <c r="N33" i="14"/>
  <c r="O33" i="14"/>
  <c r="P33" i="14"/>
  <c r="Q33" i="14"/>
  <c r="R33" i="14"/>
  <c r="H34" i="14"/>
  <c r="I34" i="14"/>
  <c r="J34" i="14"/>
  <c r="K34" i="14"/>
  <c r="L34" i="14"/>
  <c r="M34" i="14"/>
  <c r="N34" i="14"/>
  <c r="O34" i="14"/>
  <c r="P34" i="14"/>
  <c r="Q34" i="14"/>
  <c r="R34" i="14"/>
  <c r="H35" i="14"/>
  <c r="I35" i="14"/>
  <c r="J35" i="14"/>
  <c r="K35" i="14"/>
  <c r="L35" i="14"/>
  <c r="M35" i="14"/>
  <c r="N35" i="14"/>
  <c r="O35" i="14"/>
  <c r="P35" i="14"/>
  <c r="Q35" i="14"/>
  <c r="R35" i="14"/>
  <c r="H36" i="14"/>
  <c r="I36" i="14"/>
  <c r="J36" i="14"/>
  <c r="K36" i="14"/>
  <c r="L36" i="14"/>
  <c r="M36" i="14"/>
  <c r="N36" i="14"/>
  <c r="O36" i="14"/>
  <c r="P36" i="14"/>
  <c r="Q36" i="14"/>
  <c r="R36" i="14"/>
  <c r="H37" i="14"/>
  <c r="I37" i="14"/>
  <c r="J37" i="14"/>
  <c r="K37" i="14"/>
  <c r="L37" i="14"/>
  <c r="M37" i="14"/>
  <c r="N37" i="14"/>
  <c r="O37" i="14"/>
  <c r="P37" i="14"/>
  <c r="Q37" i="14"/>
  <c r="R37" i="14"/>
  <c r="H38" i="14"/>
  <c r="I38" i="14"/>
  <c r="J38" i="14"/>
  <c r="K38" i="14"/>
  <c r="L38" i="14"/>
  <c r="M38" i="14"/>
  <c r="N38" i="14"/>
  <c r="O38" i="14"/>
  <c r="P38" i="14"/>
  <c r="Q38" i="14"/>
  <c r="R38" i="14"/>
  <c r="H39" i="14"/>
  <c r="I39" i="14"/>
  <c r="J39" i="14"/>
  <c r="K39" i="14"/>
  <c r="L39" i="14"/>
  <c r="M39" i="14"/>
  <c r="N39" i="14"/>
  <c r="O39" i="14"/>
  <c r="P39" i="14"/>
  <c r="Q39" i="14"/>
  <c r="R39" i="14"/>
  <c r="H40" i="14"/>
  <c r="I40" i="14"/>
  <c r="J40" i="14"/>
  <c r="K40" i="14"/>
  <c r="L40" i="14"/>
  <c r="M40" i="14"/>
  <c r="N40" i="14"/>
  <c r="O40" i="14"/>
  <c r="P40" i="14"/>
  <c r="Q40" i="14"/>
  <c r="R40" i="14"/>
  <c r="H41" i="14"/>
  <c r="I41" i="14"/>
  <c r="J41" i="14"/>
  <c r="K41" i="14"/>
  <c r="L41" i="14"/>
  <c r="M41" i="14"/>
  <c r="N41" i="14"/>
  <c r="O41" i="14"/>
  <c r="P41" i="14"/>
  <c r="Q41" i="14"/>
  <c r="R41" i="14"/>
  <c r="H42" i="14"/>
  <c r="I42" i="14"/>
  <c r="J42" i="14"/>
  <c r="K42" i="14"/>
  <c r="L42" i="14"/>
  <c r="M42" i="14"/>
  <c r="N42" i="14"/>
  <c r="O42" i="14"/>
  <c r="P42" i="14"/>
  <c r="Q42" i="14"/>
  <c r="R42" i="14"/>
  <c r="M33" i="7" l="1"/>
  <c r="C23" i="14"/>
  <c r="C24" i="14" s="1"/>
  <c r="C25" i="14" s="1"/>
  <c r="C26" i="14" s="1"/>
  <c r="C27" i="14" s="1"/>
  <c r="C28" i="14" s="1"/>
  <c r="C29" i="14" s="1"/>
  <c r="C30" i="14" s="1"/>
  <c r="C31" i="14" s="1"/>
  <c r="C32" i="14" s="1"/>
  <c r="A2" i="14"/>
  <c r="A1" i="14"/>
  <c r="O41" i="7"/>
  <c r="R42" i="7"/>
  <c r="Q42" i="7"/>
  <c r="P42" i="7"/>
  <c r="O42" i="7"/>
  <c r="N42" i="7"/>
  <c r="M42" i="7"/>
  <c r="L42" i="7"/>
  <c r="K42" i="7"/>
  <c r="J42" i="7"/>
  <c r="I42" i="7"/>
  <c r="H42" i="7"/>
  <c r="R41" i="7"/>
  <c r="Q41" i="7"/>
  <c r="P41" i="7"/>
  <c r="N41" i="7"/>
  <c r="M41" i="7"/>
  <c r="L41" i="7"/>
  <c r="K41" i="7"/>
  <c r="J41" i="7"/>
  <c r="I41" i="7"/>
  <c r="H41" i="7"/>
  <c r="R40" i="7"/>
  <c r="Q40" i="7"/>
  <c r="P40" i="7"/>
  <c r="O40" i="7"/>
  <c r="N40" i="7"/>
  <c r="M40" i="7"/>
  <c r="L40" i="7"/>
  <c r="K40" i="7"/>
  <c r="J40" i="7"/>
  <c r="I40" i="7"/>
  <c r="H40" i="7"/>
  <c r="R39" i="7"/>
  <c r="Q39" i="7"/>
  <c r="P39" i="7"/>
  <c r="O39" i="7"/>
  <c r="N39" i="7"/>
  <c r="M39" i="7"/>
  <c r="L39" i="7"/>
  <c r="K39" i="7"/>
  <c r="J39" i="7"/>
  <c r="I39" i="7"/>
  <c r="H39" i="7"/>
  <c r="R38" i="7"/>
  <c r="Q38" i="7"/>
  <c r="P38" i="7"/>
  <c r="O38" i="7"/>
  <c r="N38" i="7"/>
  <c r="M38" i="7"/>
  <c r="L38" i="7"/>
  <c r="K38" i="7"/>
  <c r="J38" i="7"/>
  <c r="I38" i="7"/>
  <c r="H38" i="7"/>
  <c r="R37" i="7"/>
  <c r="Q37" i="7"/>
  <c r="P37" i="7"/>
  <c r="O37" i="7"/>
  <c r="N37" i="7"/>
  <c r="M37" i="7"/>
  <c r="L37" i="7"/>
  <c r="K37" i="7"/>
  <c r="J37" i="7"/>
  <c r="I37" i="7"/>
  <c r="H37" i="7"/>
  <c r="R36" i="7"/>
  <c r="Q36" i="7"/>
  <c r="P36" i="7"/>
  <c r="O36" i="7"/>
  <c r="N36" i="7"/>
  <c r="M36" i="7"/>
  <c r="L36" i="7"/>
  <c r="K36" i="7"/>
  <c r="J36" i="7"/>
  <c r="I36" i="7"/>
  <c r="H36" i="7"/>
  <c r="R35" i="7"/>
  <c r="Q35" i="7"/>
  <c r="P35" i="7"/>
  <c r="O35" i="7"/>
  <c r="N35" i="7"/>
  <c r="M35" i="7"/>
  <c r="L35" i="7"/>
  <c r="K35" i="7"/>
  <c r="J35" i="7"/>
  <c r="I35" i="7"/>
  <c r="H35" i="7"/>
  <c r="R34" i="7"/>
  <c r="Q34" i="7"/>
  <c r="P34" i="7"/>
  <c r="O34" i="7"/>
  <c r="N34" i="7"/>
  <c r="M34" i="7"/>
  <c r="L34" i="7"/>
  <c r="K34" i="7"/>
  <c r="J34" i="7"/>
  <c r="I34" i="7"/>
  <c r="H34" i="7"/>
  <c r="R33" i="7"/>
  <c r="Q33" i="7"/>
  <c r="P33" i="7"/>
  <c r="O33" i="7"/>
  <c r="N33" i="7"/>
  <c r="L33" i="7"/>
  <c r="K33" i="7"/>
  <c r="J33" i="7"/>
  <c r="I33" i="7"/>
  <c r="H33" i="7"/>
  <c r="R32" i="7"/>
  <c r="Q32" i="7"/>
  <c r="P32" i="7"/>
  <c r="O32" i="7"/>
  <c r="N32" i="7"/>
  <c r="M32" i="7"/>
  <c r="L32" i="7"/>
  <c r="K32" i="7"/>
  <c r="J32" i="7"/>
  <c r="I32" i="7"/>
  <c r="H32" i="7"/>
  <c r="R31" i="7"/>
  <c r="Q31" i="7"/>
  <c r="P31" i="7"/>
  <c r="O31" i="7"/>
  <c r="N31" i="7"/>
  <c r="M31" i="7"/>
  <c r="L31" i="7"/>
  <c r="K31" i="7"/>
  <c r="J31" i="7"/>
  <c r="I31" i="7"/>
  <c r="H31" i="7"/>
  <c r="R30" i="7"/>
  <c r="Q30" i="7"/>
  <c r="P30" i="7"/>
  <c r="O30" i="7"/>
  <c r="N30" i="7"/>
  <c r="M30" i="7"/>
  <c r="L30" i="7"/>
  <c r="K30" i="7"/>
  <c r="J30" i="7"/>
  <c r="I30" i="7"/>
  <c r="H30" i="7"/>
  <c r="R29" i="7"/>
  <c r="Q29" i="7"/>
  <c r="P29" i="7"/>
  <c r="O29" i="7"/>
  <c r="N29" i="7"/>
  <c r="M29" i="7"/>
  <c r="L29" i="7"/>
  <c r="K29" i="7"/>
  <c r="J29" i="7"/>
  <c r="I29" i="7"/>
  <c r="H29" i="7"/>
  <c r="R28" i="7"/>
  <c r="Q28" i="7"/>
  <c r="P28" i="7"/>
  <c r="O28" i="7"/>
  <c r="N28" i="7"/>
  <c r="M28" i="7"/>
  <c r="L28" i="7"/>
  <c r="K28" i="7"/>
  <c r="J28" i="7"/>
  <c r="I28" i="7"/>
  <c r="H28" i="7"/>
  <c r="R27" i="7"/>
  <c r="Q27" i="7"/>
  <c r="P27" i="7"/>
  <c r="O27" i="7"/>
  <c r="N27" i="7"/>
  <c r="M27" i="7"/>
  <c r="L27" i="7"/>
  <c r="K27" i="7"/>
  <c r="J27" i="7"/>
  <c r="I27" i="7"/>
  <c r="H27" i="7"/>
  <c r="R26" i="7"/>
  <c r="Q26" i="7"/>
  <c r="P26" i="7"/>
  <c r="O26" i="7"/>
  <c r="N26" i="7"/>
  <c r="M26" i="7"/>
  <c r="L26" i="7"/>
  <c r="K26" i="7"/>
  <c r="J26" i="7"/>
  <c r="I26" i="7"/>
  <c r="H26" i="7"/>
  <c r="R25" i="7"/>
  <c r="Q25" i="7"/>
  <c r="P25" i="7"/>
  <c r="O25" i="7"/>
  <c r="N25" i="7"/>
  <c r="M25" i="7"/>
  <c r="L25" i="7"/>
  <c r="K25" i="7"/>
  <c r="J25" i="7"/>
  <c r="I25" i="7"/>
  <c r="H25" i="7"/>
  <c r="R24" i="7"/>
  <c r="Q24" i="7"/>
  <c r="P24" i="7"/>
  <c r="O24" i="7"/>
  <c r="N24" i="7"/>
  <c r="M24" i="7"/>
  <c r="L24" i="7"/>
  <c r="K24" i="7"/>
  <c r="J24" i="7"/>
  <c r="I24" i="7"/>
  <c r="H24" i="7"/>
  <c r="R23" i="7"/>
  <c r="Q23" i="7"/>
  <c r="P23" i="7"/>
  <c r="O23" i="7"/>
  <c r="N23" i="7"/>
  <c r="M23" i="7"/>
  <c r="L23" i="7"/>
  <c r="K23" i="7"/>
  <c r="J23" i="7"/>
  <c r="I23" i="7"/>
  <c r="H23" i="7"/>
  <c r="R22" i="7"/>
  <c r="Q22" i="7"/>
  <c r="P22" i="7"/>
  <c r="O22" i="7"/>
  <c r="N22" i="7"/>
  <c r="M22" i="7"/>
  <c r="L22" i="7"/>
  <c r="K22" i="7"/>
  <c r="J22" i="7"/>
  <c r="I22" i="7"/>
  <c r="D55" i="7" s="1"/>
  <c r="H22" i="7"/>
  <c r="D56" i="7" s="1"/>
  <c r="C23" i="7"/>
  <c r="C24" i="7" s="1"/>
  <c r="C25" i="7" s="1"/>
  <c r="C26" i="7" s="1"/>
  <c r="C27" i="7" s="1"/>
  <c r="C28" i="7" s="1"/>
  <c r="C29" i="7" s="1"/>
  <c r="C30" i="7" s="1"/>
  <c r="C31" i="7" s="1"/>
  <c r="C32" i="7" s="1"/>
  <c r="A3" i="7"/>
  <c r="A2" i="7"/>
  <c r="A1" i="7"/>
  <c r="D54" i="7" l="1"/>
</calcChain>
</file>

<file path=xl/sharedStrings.xml><?xml version="1.0" encoding="utf-8"?>
<sst xmlns="http://schemas.openxmlformats.org/spreadsheetml/2006/main" count="36" uniqueCount="18">
  <si>
    <t>Problem Solving With Excel</t>
  </si>
  <si>
    <t>Question</t>
  </si>
  <si>
    <t>Problem 1 - Student Lead</t>
  </si>
  <si>
    <t>Price</t>
  </si>
  <si>
    <t>Quantity</t>
  </si>
  <si>
    <t>Table A</t>
  </si>
  <si>
    <t>Table B</t>
  </si>
  <si>
    <t>Price Increment</t>
  </si>
  <si>
    <t>Problem 2 - Student Lead</t>
  </si>
  <si>
    <t>Sum of Revenue_Combinations</t>
  </si>
  <si>
    <t>Count of Revenue_Combinations</t>
  </si>
  <si>
    <t>Average of Revenue_Combinations</t>
  </si>
  <si>
    <t>Week 1 project</t>
  </si>
  <si>
    <t>Profitable:</t>
  </si>
  <si>
    <t xml:space="preserve">You are trying to understand pricing dynamics for your new product. For the product to be profitable, you need revenue to be over $100,000 per store, for the quarter. Based on analysis, you believe the quantity sold would be between 400 and 600 units per store if the price per unit were between $100 and $200. Below in Table A, you have been given the list of potential quantities and prices to check. Copy and paste the values into Table B to create a matrix of the different options. From there, use cell locking to complete the multiplication table. Ensure that when you are copying and pasting the table, the format of the table does not change. Then use paste special formats to copy the format for profitable combinations. </t>
  </si>
  <si>
    <r>
      <t xml:space="preserve">1) Name Table B, Revenue_Combinations. If something is already named Revenue_Combinations, use the Name manager to update the range. </t>
    </r>
    <r>
      <rPr>
        <i/>
        <sz val="9"/>
        <color theme="1"/>
        <rFont val="Arial"/>
        <family val="2"/>
        <scheme val="minor"/>
      </rPr>
      <t>Hint: Do not include the column and row headers.</t>
    </r>
  </si>
  <si>
    <t>2) If you had a store sell every combination of quantity and price, what would the total revenue be and the average revenue be?</t>
  </si>
  <si>
    <t xml:space="preserve">You are trying to understand pricing dynamics for your new product. For the product to be profitable, you need revenue to be over $100,000 per store, for the quarter. Based on analysis, you believe the quantity sold would be between 400 and 600 units per store if the price per unit were between $100 and $200. Below in Table A, you have been given the list of potential quantities and prices to check. Copy and paste the values into Table B to create a matrix of the different options. From there, use cell locking to complete the multiplication table. Ensure that when you are copying and pasting the table the format of the table does not change. Then use paste special formats to copy the format for profitable combinations.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</si>
</sst>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
    <numFmt numFmtId="165" formatCode="0%_);\(0%\)"/>
    <numFmt numFmtId="166" formatCode="&quot;$&quot;#,##0.00"/>
    <numFmt numFmtId="167" formatCode="&quot;$&quot;#,##0"/>
  </numFmts>
  <fonts count="28" x14ac:knownFonts="1">
    <font>
      <sz val="9"/>
      <color theme="1"/>
      <name val="Arial"/>
      <family val="2"/>
      <scheme val="minor"/>
    </font>
    <font>
      <sz val="11"/>
      <color theme="1"/>
      <name val="Arial"/>
      <family val="2"/>
      <scheme val="minor"/>
    </font>
    <font>
      <b/>
      <sz val="10"/>
      <color rgb="FFC00000"/>
      <name val="Arial"/>
      <family val="2"/>
    </font>
    <font>
      <b/>
      <sz val="11"/>
      <color theme="3"/>
      <name val="Arial"/>
      <family val="2"/>
      <scheme val="minor"/>
    </font>
    <font>
      <b/>
      <sz val="14"/>
      <color theme="6" tint="-0.249977111117893"/>
      <name val="Arial"/>
      <family val="2"/>
      <scheme val="minor"/>
    </font>
    <font>
      <b/>
      <sz val="10"/>
      <color theme="6" tint="-0.249977111117893"/>
      <name val="Arial"/>
      <family val="2"/>
    </font>
    <font>
      <b/>
      <sz val="9"/>
      <color theme="3"/>
      <name val="Arial"/>
      <family val="2"/>
      <scheme val="minor"/>
    </font>
    <font>
      <b/>
      <sz val="9"/>
      <color theme="0"/>
      <name val="Arial"/>
      <family val="2"/>
      <scheme val="minor"/>
    </font>
    <font>
      <b/>
      <u/>
      <sz val="14"/>
      <color rgb="FF602320"/>
      <name val="Calibri"/>
      <family val="2"/>
    </font>
    <font>
      <sz val="9"/>
      <color theme="1"/>
      <name val="Arial"/>
      <family val="2"/>
      <scheme val="minor"/>
    </font>
    <font>
      <sz val="9"/>
      <color rgb="FF9C0006"/>
      <name val="Arial"/>
      <family val="2"/>
    </font>
    <font>
      <b/>
      <sz val="9"/>
      <color rgb="FFFA7D00"/>
      <name val="Arial"/>
      <family val="2"/>
    </font>
    <font>
      <i/>
      <sz val="9"/>
      <color rgb="FF7F7F7F"/>
      <name val="Arial"/>
      <family val="2"/>
      <scheme val="minor"/>
    </font>
    <font>
      <sz val="9"/>
      <color rgb="FF006100"/>
      <name val="Arial"/>
      <family val="2"/>
    </font>
    <font>
      <b/>
      <sz val="9"/>
      <color theme="3"/>
      <name val="Arial"/>
      <family val="2"/>
    </font>
    <font>
      <b/>
      <sz val="9"/>
      <color theme="3"/>
      <name val="Georgia"/>
      <family val="2"/>
      <scheme val="major"/>
    </font>
    <font>
      <sz val="9"/>
      <color theme="3"/>
      <name val="Georgia"/>
      <family val="2"/>
      <scheme val="major"/>
    </font>
    <font>
      <sz val="9"/>
      <color rgb="FF3F3F76"/>
      <name val="Arial"/>
      <family val="2"/>
      <scheme val="minor"/>
    </font>
    <font>
      <sz val="9"/>
      <color rgb="FFFA7D00"/>
      <name val="Arial"/>
      <family val="2"/>
      <scheme val="minor"/>
    </font>
    <font>
      <sz val="9"/>
      <color rgb="FF9C6500"/>
      <name val="Arial"/>
      <family val="2"/>
    </font>
    <font>
      <b/>
      <sz val="9"/>
      <color rgb="FF3F3F3F"/>
      <name val="Arial"/>
      <family val="2"/>
      <scheme val="minor"/>
    </font>
    <font>
      <sz val="8"/>
      <color theme="1"/>
      <name val="Arial"/>
      <family val="2"/>
      <scheme val="minor"/>
    </font>
    <font>
      <b/>
      <sz val="9"/>
      <color theme="1"/>
      <name val="Arial"/>
      <family val="2"/>
      <scheme val="minor"/>
    </font>
    <font>
      <b/>
      <sz val="11"/>
      <color theme="3"/>
      <name val="Georgia"/>
      <family val="2"/>
      <scheme val="major"/>
    </font>
    <font>
      <b/>
      <sz val="9"/>
      <color theme="1"/>
      <name val="Georgia"/>
      <family val="2"/>
      <scheme val="major"/>
    </font>
    <font>
      <sz val="9"/>
      <color theme="0"/>
      <name val="Arial"/>
      <family val="2"/>
      <scheme val="minor"/>
    </font>
    <font>
      <i/>
      <sz val="9"/>
      <color theme="1"/>
      <name val="Arial"/>
      <family val="2"/>
      <scheme val="minor"/>
    </font>
    <font>
      <sz val="9"/>
      <color rgb="FF000000"/>
      <name val="Arial"/>
      <family val="2"/>
    </font>
  </fonts>
  <fills count="1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rgb="FF92D050"/>
        <bgColor indexed="64"/>
      </patternFill>
    </fill>
    <fill>
      <patternFill patternType="solid">
        <fgColor theme="3" tint="-0.499984740745262"/>
        <bgColor indexed="64"/>
      </patternFill>
    </fill>
  </fills>
  <borders count="13">
    <border>
      <left/>
      <right/>
      <top/>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right style="medium">
        <color theme="4"/>
      </right>
      <top/>
      <bottom/>
      <diagonal/>
    </border>
    <border>
      <left style="thin">
        <color theme="0"/>
      </left>
      <right style="thin">
        <color theme="0"/>
      </right>
      <top style="thin">
        <color theme="0"/>
      </top>
      <bottom style="thin">
        <color theme="0"/>
      </bottom>
      <diagonal/>
    </border>
  </borders>
  <cellStyleXfs count="30">
    <xf numFmtId="164" fontId="0" fillId="0" borderId="0"/>
    <xf numFmtId="9" fontId="1" fillId="0" borderId="0" applyFont="0" applyFill="0" applyBorder="0" applyAlignment="0" applyProtection="0"/>
    <xf numFmtId="0" fontId="6" fillId="0" borderId="1" applyFill="0" applyProtection="0">
      <alignment horizontal="right" wrapText="1"/>
    </xf>
    <xf numFmtId="0" fontId="3" fillId="0" borderId="0" applyAlignment="0" applyProtection="0"/>
    <xf numFmtId="49" fontId="23" fillId="0" borderId="0" applyAlignment="0" applyProtection="0"/>
    <xf numFmtId="49" fontId="14" fillId="0" borderId="1" applyFill="0" applyProtection="0">
      <alignment horizontal="right" wrapText="1"/>
    </xf>
    <xf numFmtId="49" fontId="15" fillId="0" borderId="0" applyProtection="0">
      <alignment wrapText="1"/>
    </xf>
    <xf numFmtId="49" fontId="16" fillId="0" borderId="7" applyFill="0" applyProtection="0">
      <alignment horizontal="right" wrapText="1"/>
    </xf>
    <xf numFmtId="49" fontId="16" fillId="0" borderId="0" applyProtection="0">
      <alignment wrapText="1"/>
    </xf>
    <xf numFmtId="0" fontId="13" fillId="2" borderId="0" applyNumberFormat="0" applyBorder="0" applyAlignment="0" applyProtection="0"/>
    <xf numFmtId="0" fontId="10" fillId="3" borderId="0" applyNumberFormat="0" applyBorder="0" applyAlignment="0" applyProtection="0"/>
    <xf numFmtId="0" fontId="19" fillId="4" borderId="0" applyNumberFormat="0" applyBorder="0" applyAlignment="0" applyProtection="0"/>
    <xf numFmtId="0" fontId="17" fillId="5" borderId="2" applyNumberFormat="0" applyAlignment="0" applyProtection="0"/>
    <xf numFmtId="0" fontId="20" fillId="6" borderId="3" applyNumberFormat="0" applyAlignment="0" applyProtection="0"/>
    <xf numFmtId="0" fontId="11" fillId="6" borderId="2" applyNumberFormat="0" applyAlignment="0" applyProtection="0"/>
    <xf numFmtId="0" fontId="18" fillId="0" borderId="4" applyNumberFormat="0" applyFill="0" applyAlignment="0" applyProtection="0"/>
    <xf numFmtId="0" fontId="7" fillId="7" borderId="5" applyNumberFormat="0" applyAlignment="0" applyProtection="0"/>
    <xf numFmtId="0" fontId="9" fillId="8" borderId="6" applyNumberFormat="0" applyAlignment="0" applyProtection="0"/>
    <xf numFmtId="0" fontId="12" fillId="0" borderId="0" applyNumberFormat="0" applyFill="0" applyBorder="0" applyAlignment="0" applyProtection="0"/>
    <xf numFmtId="0" fontId="24" fillId="0" borderId="10" applyNumberFormat="0" applyFill="0" applyAlignment="0" applyProtection="0"/>
    <xf numFmtId="164" fontId="6" fillId="0" borderId="0" applyNumberFormat="0" applyFill="0" applyBorder="0" applyAlignment="0" applyProtection="0"/>
    <xf numFmtId="164" fontId="9" fillId="9" borderId="0" applyNumberFormat="0" applyFont="0" applyBorder="0" applyAlignment="0" applyProtection="0"/>
    <xf numFmtId="0" fontId="9" fillId="0" borderId="0" applyFill="0" applyBorder="0" applyProtection="0"/>
    <xf numFmtId="164" fontId="9" fillId="10" borderId="0" applyNumberFormat="0" applyFont="0" applyBorder="0" applyAlignment="0" applyProtection="0"/>
    <xf numFmtId="165" fontId="9" fillId="0" borderId="0" applyFill="0" applyBorder="0" applyAlignment="0" applyProtection="0"/>
    <xf numFmtId="0" fontId="21" fillId="0" borderId="0" applyNumberFormat="0" applyAlignment="0" applyProtection="0"/>
    <xf numFmtId="0" fontId="6" fillId="0" borderId="0" applyFill="0" applyProtection="0">
      <alignment wrapText="1"/>
    </xf>
    <xf numFmtId="0" fontId="6" fillId="0" borderId="8" applyFill="0" applyProtection="0">
      <alignment wrapText="1"/>
    </xf>
    <xf numFmtId="164" fontId="22" fillId="0" borderId="9" applyNumberFormat="0" applyFill="0" applyAlignment="0" applyProtection="0"/>
    <xf numFmtId="0" fontId="22" fillId="0" borderId="10" applyNumberFormat="0" applyFill="0" applyAlignment="0" applyProtection="0"/>
  </cellStyleXfs>
  <cellXfs count="22">
    <xf numFmtId="164" fontId="0" fillId="0" borderId="0" xfId="0"/>
    <xf numFmtId="164" fontId="8" fillId="0" borderId="0" xfId="3" applyNumberFormat="1" applyFont="1" applyFill="1" applyBorder="1"/>
    <xf numFmtId="164" fontId="2" fillId="0" borderId="0" xfId="0" applyFont="1"/>
    <xf numFmtId="164" fontId="4" fillId="0" borderId="0" xfId="0" applyFont="1"/>
    <xf numFmtId="164" fontId="5" fillId="0" borderId="0" xfId="0" applyFont="1"/>
    <xf numFmtId="164" fontId="0" fillId="0" borderId="0" xfId="0"/>
    <xf numFmtId="164" fontId="22" fillId="0" borderId="0" xfId="0" applyFont="1"/>
    <xf numFmtId="164" fontId="6" fillId="0" borderId="0" xfId="20"/>
    <xf numFmtId="49" fontId="14" fillId="0" borderId="1" xfId="5">
      <alignment horizontal="right" wrapText="1"/>
    </xf>
    <xf numFmtId="166" fontId="0" fillId="0" borderId="0" xfId="0" applyNumberFormat="1"/>
    <xf numFmtId="164" fontId="0" fillId="0" borderId="0" xfId="0" applyAlignment="1">
      <alignment horizontal="right"/>
    </xf>
    <xf numFmtId="164" fontId="0" fillId="11" borderId="0" xfId="0" applyFill="1"/>
    <xf numFmtId="0" fontId="6" fillId="12" borderId="11" xfId="2" applyFill="1" applyBorder="1">
      <alignment horizontal="right" wrapText="1"/>
    </xf>
    <xf numFmtId="0" fontId="6" fillId="12" borderId="1" xfId="2" applyFill="1">
      <alignment horizontal="right" wrapText="1"/>
    </xf>
    <xf numFmtId="164" fontId="0" fillId="13" borderId="0" xfId="0" applyFill="1"/>
    <xf numFmtId="167" fontId="0" fillId="14" borderId="0" xfId="0" applyNumberFormat="1" applyFill="1"/>
    <xf numFmtId="164" fontId="0" fillId="15" borderId="0" xfId="0" applyFill="1"/>
    <xf numFmtId="164" fontId="25" fillId="16" borderId="12" xfId="0" applyFont="1" applyFill="1" applyBorder="1"/>
    <xf numFmtId="164" fontId="0" fillId="11" borderId="12" xfId="0" applyFill="1" applyBorder="1"/>
    <xf numFmtId="0" fontId="0" fillId="0" borderId="0" xfId="0" applyNumberFormat="1" applyAlignment="1">
      <alignment horizontal="left" vertical="top" wrapText="1"/>
    </xf>
    <xf numFmtId="164" fontId="6" fillId="0" borderId="0" xfId="20" applyAlignment="1">
      <alignment horizontal="center"/>
    </xf>
    <xf numFmtId="164" fontId="6" fillId="0" borderId="0" xfId="20" applyAlignment="1">
      <alignment horizontal="center" vertical="center" textRotation="90"/>
    </xf>
  </cellXfs>
  <cellStyles count="30">
    <cellStyle name="Bad" xfId="10" builtinId="27" customBuiltin="1"/>
    <cellStyle name="Calculation" xfId="14" builtinId="22" customBuiltin="1"/>
    <cellStyle name="Check Cell" xfId="16" builtinId="23" customBuiltin="1"/>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2" builtinId="20" customBuiltin="1"/>
    <cellStyle name="Linked Cell" xfId="15" builtinId="24" customBuiltin="1"/>
    <cellStyle name="Neutral" xfId="11" builtinId="28" customBuiltin="1"/>
    <cellStyle name="Normal" xfId="0" builtinId="0" customBuiltin="1"/>
    <cellStyle name="Note" xfId="17" builtinId="10" customBuiltin="1"/>
    <cellStyle name="Output" xfId="13" builtinId="21" customBuiltin="1"/>
    <cellStyle name="Percent" xfId="1" builtinId="5" customBuiltin="1"/>
    <cellStyle name="Smart Bold" xfId="20"/>
    <cellStyle name="Smart Forecast" xfId="21"/>
    <cellStyle name="Smart General" xfId="22"/>
    <cellStyle name="Smart Highlight" xfId="23"/>
    <cellStyle name="Smart Percent" xfId="24"/>
    <cellStyle name="Smart Source" xfId="25"/>
    <cellStyle name="Smart Subtitle 1" xfId="2"/>
    <cellStyle name="Smart Subtitle 2" xfId="26"/>
    <cellStyle name="Smart Subtitle 3" xfId="27"/>
    <cellStyle name="Smart Subtotal" xfId="28"/>
    <cellStyle name="Smart Title" xfId="3"/>
    <cellStyle name="Smart Total" xfId="29"/>
    <cellStyle name="Title" xfId="4" builtinId="15" customBuiltin="1"/>
    <cellStyle name="Total" xfId="19"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333375</xdr:colOff>
          <xdr:row>7</xdr:row>
          <xdr:rowOff>190500</xdr:rowOff>
        </xdr:from>
        <xdr:to>
          <xdr:col>13</xdr:col>
          <xdr:colOff>180975</xdr:colOff>
          <xdr:row>10</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Answer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47625</xdr:colOff>
          <xdr:row>51</xdr:row>
          <xdr:rowOff>28575</xdr:rowOff>
        </xdr:from>
        <xdr:to>
          <xdr:col>13</xdr:col>
          <xdr:colOff>390525</xdr:colOff>
          <xdr:row>54</xdr:row>
          <xdr:rowOff>9525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Answer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371475</xdr:colOff>
          <xdr:row>8</xdr:row>
          <xdr:rowOff>66675</xdr:rowOff>
        </xdr:from>
        <xdr:to>
          <xdr:col>13</xdr:col>
          <xdr:colOff>47625</xdr:colOff>
          <xdr:row>10</xdr:row>
          <xdr:rowOff>66675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142875</xdr:colOff>
          <xdr:row>52</xdr:row>
          <xdr:rowOff>66675</xdr:rowOff>
        </xdr:from>
        <xdr:to>
          <xdr:col>12</xdr:col>
          <xdr:colOff>314325</xdr:colOff>
          <xdr:row>54</xdr:row>
          <xdr:rowOff>142875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Problem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man003/Downloads/Index%20Match%20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Summary"/>
      <sheetName val="Section 1 - Instruction"/>
      <sheetName val="Section 1 - Instruction (ANS)"/>
      <sheetName val="Section 1 - Student Ex."/>
      <sheetName val="Section 1 - Student Ex (ANS)"/>
      <sheetName val="Culminating Exersise"/>
      <sheetName val="Culminating Exersise (ANS)"/>
      <sheetName val="Data Set"/>
    </sheetNames>
    <sheetDataSet>
      <sheetData sheetId="0"/>
      <sheetData sheetId="1"/>
      <sheetData sheetId="2"/>
      <sheetData sheetId="3"/>
      <sheetData sheetId="4"/>
      <sheetData sheetId="5"/>
      <sheetData sheetId="6"/>
      <sheetData sheetId="7"/>
      <sheetData sheetId="8">
        <row r="9">
          <cell r="F9" t="str">
            <v>Country</v>
          </cell>
        </row>
        <row r="10">
          <cell r="F10" t="str">
            <v>Panama</v>
          </cell>
        </row>
        <row r="11">
          <cell r="F11" t="str">
            <v>Tanzania, United Republic of</v>
          </cell>
        </row>
        <row r="12">
          <cell r="F12" t="str">
            <v>South Africa</v>
          </cell>
        </row>
        <row r="13">
          <cell r="F13" t="str">
            <v>Gabon</v>
          </cell>
        </row>
        <row r="14">
          <cell r="F14" t="str">
            <v>Syrian Arab Republic</v>
          </cell>
        </row>
        <row r="15">
          <cell r="F15" t="str">
            <v>Guadeloupe</v>
          </cell>
        </row>
        <row r="16">
          <cell r="F16" t="str">
            <v>Macedonia</v>
          </cell>
        </row>
        <row r="17">
          <cell r="F17" t="str">
            <v>Kyrgyzstan</v>
          </cell>
        </row>
        <row r="18">
          <cell r="F18" t="str">
            <v>Reunion</v>
          </cell>
        </row>
        <row r="19">
          <cell r="F19" t="str">
            <v>Turks and Caicos Islands</v>
          </cell>
        </row>
        <row r="20">
          <cell r="F20" t="str">
            <v>Netherlands Antilles</v>
          </cell>
        </row>
        <row r="21">
          <cell r="F21" t="str">
            <v>Macedonia</v>
          </cell>
        </row>
        <row r="22">
          <cell r="F22" t="str">
            <v>Tuvalu</v>
          </cell>
        </row>
        <row r="23">
          <cell r="F23" t="str">
            <v>Nepal</v>
          </cell>
        </row>
        <row r="24">
          <cell r="F24" t="str">
            <v>Malawi</v>
          </cell>
        </row>
        <row r="25">
          <cell r="F25" t="str">
            <v>Moldova</v>
          </cell>
        </row>
        <row r="26">
          <cell r="F26" t="str">
            <v>Burkina Faso</v>
          </cell>
        </row>
        <row r="27">
          <cell r="F27" t="str">
            <v>Bouvet Island</v>
          </cell>
        </row>
        <row r="28">
          <cell r="F28" t="str">
            <v>Liberia</v>
          </cell>
        </row>
        <row r="29">
          <cell r="F29" t="str">
            <v>Vanuatu</v>
          </cell>
        </row>
        <row r="30">
          <cell r="F30" t="str">
            <v>Palau</v>
          </cell>
        </row>
        <row r="31">
          <cell r="F31" t="str">
            <v>Madagascar</v>
          </cell>
        </row>
        <row r="32">
          <cell r="F32" t="str">
            <v>Yemen</v>
          </cell>
        </row>
      </sheetData>
    </sheetDataSet>
  </externalBook>
</externalLink>
</file>

<file path=xl/theme/theme1.xml><?xml version="1.0" encoding="utf-8"?>
<a:theme xmlns:a="http://schemas.openxmlformats.org/drawingml/2006/main" name="PwC">
  <a:themeElements>
    <a:clrScheme name="PwC Burgundy">
      <a:dk1>
        <a:srgbClr val="000000"/>
      </a:dk1>
      <a:lt1>
        <a:srgbClr val="FFFFFF"/>
      </a:lt1>
      <a:dk2>
        <a:srgbClr val="A32020"/>
      </a:dk2>
      <a:lt2>
        <a:srgbClr val="FFFFFF"/>
      </a:lt2>
      <a:accent1>
        <a:srgbClr val="A32020"/>
      </a:accent1>
      <a:accent2>
        <a:srgbClr val="E0301E"/>
      </a:accent2>
      <a:accent3>
        <a:srgbClr val="602320"/>
      </a:accent3>
      <a:accent4>
        <a:srgbClr val="DB536A"/>
      </a:accent4>
      <a:accent5>
        <a:srgbClr val="DC6900"/>
      </a:accent5>
      <a:accent6>
        <a:srgbClr val="FFB600"/>
      </a:accent6>
      <a:hlink>
        <a:srgbClr val="A32020"/>
      </a:hlink>
      <a:folHlink>
        <a:srgbClr val="A32020"/>
      </a:folHlink>
    </a:clrScheme>
    <a:fontScheme name="PwC">
      <a:majorFont>
        <a:latin typeface="Georgia"/>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ltGray">
        <a:solidFill>
          <a:schemeClr val="tx2"/>
        </a:solidFill>
        <a:ln w="3175"/>
      </a:spPr>
      <a:bodyPr rtlCol="0" anchor="ctr"/>
      <a:lstStyle>
        <a:defPPr algn="ctr">
          <a:defRPr dirty="0" err="1" smtClean="0">
            <a:solidFill>
              <a:schemeClr val="bg1"/>
            </a:solidFill>
            <a:latin typeface="Georgia" pitchFamily="18" charset="0"/>
          </a:defRPr>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wrap="square" lIns="0" tIns="0" rIns="0" bIns="0" rtlCol="0">
        <a:noAutofit/>
      </a:bodyPr>
      <a:lstStyle>
        <a:defPPr indent="-274320">
          <a:spcAft>
            <a:spcPts val="900"/>
          </a:spcAft>
          <a:defRPr sz="2000" dirty="0" err="1" smtClean="0">
            <a:latin typeface="Georgia" pitchFamily="18" charset="0"/>
          </a:defRPr>
        </a:defPPr>
      </a:lstStyle>
    </a:tx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
  <sheetViews>
    <sheetView showGridLines="0" workbookViewId="0">
      <selection activeCell="A3" sqref="A3"/>
    </sheetView>
  </sheetViews>
  <sheetFormatPr defaultColWidth="9" defaultRowHeight="12" x14ac:dyDescent="0.2"/>
  <sheetData>
    <row r="1" spans="1:1" ht="18" x14ac:dyDescent="0.25">
      <c r="A1" s="3" t="s">
        <v>0</v>
      </c>
    </row>
    <row r="2" spans="1:1" ht="18" x14ac:dyDescent="0.25">
      <c r="A2" s="3" t="s">
        <v>12</v>
      </c>
    </row>
    <row r="3" spans="1:1" ht="18" x14ac:dyDescent="0.25">
      <c r="A3" s="3"/>
    </row>
    <row r="4" spans="1:1" ht="12.75" x14ac:dyDescent="0.2">
      <c r="A4" s="2"/>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R56"/>
  <sheetViews>
    <sheetView showGridLines="0" tabSelected="1" zoomScale="110" workbookViewId="0">
      <selection activeCell="K48" sqref="K48"/>
    </sheetView>
  </sheetViews>
  <sheetFormatPr defaultColWidth="9" defaultRowHeight="12" x14ac:dyDescent="0.2"/>
  <cols>
    <col min="1" max="1" width="9" style="5"/>
    <col min="2" max="2" width="17.140625" style="5" customWidth="1"/>
    <col min="3" max="3" width="26.140625" style="5" bestFit="1" customWidth="1"/>
    <col min="4" max="4" width="12.42578125" style="5" bestFit="1" customWidth="1"/>
    <col min="5" max="5" width="12.42578125" style="5" customWidth="1"/>
    <col min="6" max="6" width="3.42578125" style="5" customWidth="1"/>
    <col min="7" max="7" width="8.42578125" style="5" bestFit="1" customWidth="1"/>
    <col min="8" max="14" width="7.5703125" style="5" bestFit="1" customWidth="1"/>
    <col min="15" max="18" width="8.5703125" style="5" bestFit="1" customWidth="1"/>
    <col min="19" max="16384" width="9" style="5"/>
  </cols>
  <sheetData>
    <row r="1" spans="1:10" ht="12.75" x14ac:dyDescent="0.2">
      <c r="A1" s="4" t="str">
        <f>'Cover Page'!A1</f>
        <v>Problem Solving With Excel</v>
      </c>
    </row>
    <row r="2" spans="1:10" ht="12.75" x14ac:dyDescent="0.2">
      <c r="A2" s="4" t="str">
        <f>'Cover Page'!A2</f>
        <v>Week 1 project</v>
      </c>
    </row>
    <row r="3" spans="1:10" ht="12.75" x14ac:dyDescent="0.2">
      <c r="A3" s="4"/>
    </row>
    <row r="4" spans="1:10" ht="12.75" x14ac:dyDescent="0.2">
      <c r="A4" s="4" t="s">
        <v>1</v>
      </c>
    </row>
    <row r="7" spans="1:10" ht="18.75" x14ac:dyDescent="0.3">
      <c r="B7" s="1" t="s">
        <v>2</v>
      </c>
    </row>
    <row r="8" spans="1:10" ht="17.45" customHeight="1" x14ac:dyDescent="0.2"/>
    <row r="9" spans="1:10" ht="8.1" customHeight="1" x14ac:dyDescent="0.2"/>
    <row r="10" spans="1:10" ht="22.35" customHeight="1" x14ac:dyDescent="0.2">
      <c r="B10" s="19" t="s">
        <v>14</v>
      </c>
      <c r="C10" s="19"/>
      <c r="D10" s="19"/>
      <c r="E10" s="19"/>
      <c r="F10" s="19"/>
      <c r="G10" s="19"/>
      <c r="H10" s="19"/>
      <c r="I10" s="19"/>
      <c r="J10" s="19"/>
    </row>
    <row r="11" spans="1:10" ht="9.6" customHeight="1" x14ac:dyDescent="0.2">
      <c r="B11" s="19"/>
      <c r="C11" s="19"/>
      <c r="D11" s="19"/>
      <c r="E11" s="19"/>
      <c r="F11" s="19"/>
      <c r="G11" s="19"/>
      <c r="H11" s="19"/>
      <c r="I11" s="19"/>
      <c r="J11" s="19"/>
    </row>
    <row r="12" spans="1:10" x14ac:dyDescent="0.2">
      <c r="B12" s="19"/>
      <c r="C12" s="19"/>
      <c r="D12" s="19"/>
      <c r="E12" s="19"/>
      <c r="F12" s="19"/>
      <c r="G12" s="19"/>
      <c r="H12" s="19"/>
      <c r="I12" s="19"/>
      <c r="J12" s="19"/>
    </row>
    <row r="13" spans="1:10" x14ac:dyDescent="0.2">
      <c r="B13" s="19"/>
      <c r="C13" s="19"/>
      <c r="D13" s="19"/>
      <c r="E13" s="19"/>
      <c r="F13" s="19"/>
      <c r="G13" s="19"/>
      <c r="H13" s="19"/>
      <c r="I13" s="19"/>
      <c r="J13" s="19"/>
    </row>
    <row r="14" spans="1:10" x14ac:dyDescent="0.2">
      <c r="B14" s="19"/>
      <c r="C14" s="19"/>
      <c r="D14" s="19"/>
      <c r="E14" s="19"/>
      <c r="F14" s="19"/>
      <c r="G14" s="19"/>
      <c r="H14" s="19"/>
      <c r="I14" s="19"/>
      <c r="J14" s="19"/>
    </row>
    <row r="15" spans="1:10" x14ac:dyDescent="0.2">
      <c r="B15" s="19"/>
      <c r="C15" s="19"/>
      <c r="D15" s="19"/>
      <c r="E15" s="19"/>
      <c r="F15" s="19"/>
      <c r="G15" s="19"/>
      <c r="H15" s="19"/>
      <c r="I15" s="19"/>
      <c r="J15" s="19"/>
    </row>
    <row r="16" spans="1:10" x14ac:dyDescent="0.2">
      <c r="B16" s="19"/>
      <c r="C16" s="19"/>
      <c r="D16" s="19"/>
      <c r="E16" s="19"/>
      <c r="F16" s="19"/>
      <c r="G16" s="19"/>
      <c r="H16" s="19"/>
      <c r="I16" s="19"/>
      <c r="J16" s="19"/>
    </row>
    <row r="17" spans="2:18" x14ac:dyDescent="0.2">
      <c r="B17" s="19"/>
      <c r="C17" s="19"/>
      <c r="D17" s="19"/>
      <c r="E17" s="19"/>
      <c r="F17" s="19"/>
      <c r="G17" s="19"/>
      <c r="H17" s="19"/>
      <c r="I17" s="19"/>
      <c r="J17" s="19"/>
    </row>
    <row r="18" spans="2:18" x14ac:dyDescent="0.2">
      <c r="B18" s="7" t="s">
        <v>5</v>
      </c>
      <c r="C18" s="10" t="s">
        <v>7</v>
      </c>
      <c r="D18" s="11">
        <v>10</v>
      </c>
      <c r="G18" s="7" t="s">
        <v>6</v>
      </c>
      <c r="O18" s="5" t="s">
        <v>13</v>
      </c>
      <c r="P18" s="16"/>
    </row>
    <row r="19" spans="2:18" x14ac:dyDescent="0.2">
      <c r="B19" s="7"/>
      <c r="C19" s="10"/>
      <c r="G19" s="7"/>
    </row>
    <row r="20" spans="2:18" x14ac:dyDescent="0.2">
      <c r="B20" s="6"/>
      <c r="G20" s="20" t="s">
        <v>3</v>
      </c>
      <c r="H20" s="20"/>
      <c r="I20" s="20"/>
      <c r="J20" s="20"/>
      <c r="K20" s="20"/>
      <c r="L20" s="20"/>
      <c r="M20" s="20"/>
      <c r="N20" s="20"/>
      <c r="O20" s="20"/>
      <c r="P20" s="20"/>
      <c r="Q20" s="20"/>
    </row>
    <row r="21" spans="2:18" ht="12.75" thickBot="1" x14ac:dyDescent="0.25">
      <c r="B21" s="8" t="s">
        <v>4</v>
      </c>
      <c r="C21" s="8" t="s">
        <v>3</v>
      </c>
      <c r="H21" s="13">
        <v>100</v>
      </c>
      <c r="I21" s="13">
        <v>110</v>
      </c>
      <c r="J21" s="13">
        <v>120</v>
      </c>
      <c r="K21" s="13">
        <v>130</v>
      </c>
      <c r="L21" s="13">
        <v>140</v>
      </c>
      <c r="M21" s="13">
        <v>150</v>
      </c>
      <c r="N21" s="13">
        <v>160</v>
      </c>
      <c r="O21" s="13">
        <v>170</v>
      </c>
      <c r="P21" s="13">
        <v>180</v>
      </c>
      <c r="Q21" s="13">
        <v>190</v>
      </c>
      <c r="R21" s="13">
        <v>200</v>
      </c>
    </row>
    <row r="22" spans="2:18" x14ac:dyDescent="0.2">
      <c r="B22" s="5">
        <v>400</v>
      </c>
      <c r="C22" s="9">
        <v>100</v>
      </c>
      <c r="G22" s="12">
        <v>400</v>
      </c>
      <c r="H22" s="15">
        <f>$G22*H$21</f>
        <v>40000</v>
      </c>
      <c r="I22" s="15">
        <f t="shared" ref="I22:Q22" si="0">$G22*I$21</f>
        <v>44000</v>
      </c>
      <c r="J22" s="15">
        <f t="shared" si="0"/>
        <v>48000</v>
      </c>
      <c r="K22" s="15">
        <f t="shared" si="0"/>
        <v>52000</v>
      </c>
      <c r="L22" s="15">
        <f t="shared" si="0"/>
        <v>56000</v>
      </c>
      <c r="M22" s="15">
        <f t="shared" si="0"/>
        <v>60000</v>
      </c>
      <c r="N22" s="15">
        <f t="shared" si="0"/>
        <v>64000</v>
      </c>
      <c r="O22" s="15">
        <f t="shared" si="0"/>
        <v>68000</v>
      </c>
      <c r="P22" s="15">
        <f t="shared" si="0"/>
        <v>72000</v>
      </c>
      <c r="Q22" s="15">
        <f t="shared" si="0"/>
        <v>76000</v>
      </c>
      <c r="R22" s="15">
        <f>$G22*R$21</f>
        <v>80000</v>
      </c>
    </row>
    <row r="23" spans="2:18" x14ac:dyDescent="0.2">
      <c r="B23" s="5">
        <v>410</v>
      </c>
      <c r="C23" s="9">
        <f>C22+$D$18</f>
        <v>110</v>
      </c>
      <c r="F23" s="21" t="s">
        <v>4</v>
      </c>
      <c r="G23" s="12">
        <v>410</v>
      </c>
      <c r="H23" s="15">
        <f t="shared" ref="H23:R42" si="1">$G23*H$21</f>
        <v>41000</v>
      </c>
      <c r="I23" s="15">
        <f t="shared" si="1"/>
        <v>45100</v>
      </c>
      <c r="J23" s="15">
        <f t="shared" si="1"/>
        <v>49200</v>
      </c>
      <c r="K23" s="15">
        <f t="shared" si="1"/>
        <v>53300</v>
      </c>
      <c r="L23" s="15">
        <f t="shared" si="1"/>
        <v>57400</v>
      </c>
      <c r="M23" s="15">
        <f t="shared" si="1"/>
        <v>61500</v>
      </c>
      <c r="N23" s="15">
        <f t="shared" si="1"/>
        <v>65600</v>
      </c>
      <c r="O23" s="15">
        <f t="shared" si="1"/>
        <v>69700</v>
      </c>
      <c r="P23" s="15">
        <f t="shared" si="1"/>
        <v>73800</v>
      </c>
      <c r="Q23" s="15">
        <f t="shared" si="1"/>
        <v>77900</v>
      </c>
      <c r="R23" s="15">
        <f t="shared" si="1"/>
        <v>82000</v>
      </c>
    </row>
    <row r="24" spans="2:18" x14ac:dyDescent="0.2">
      <c r="B24" s="5">
        <v>420</v>
      </c>
      <c r="C24" s="9">
        <f t="shared" ref="C24:C32" si="2">C23+$D$18</f>
        <v>120</v>
      </c>
      <c r="F24" s="21"/>
      <c r="G24" s="12">
        <v>420</v>
      </c>
      <c r="H24" s="15">
        <f t="shared" si="1"/>
        <v>42000</v>
      </c>
      <c r="I24" s="15">
        <f t="shared" si="1"/>
        <v>46200</v>
      </c>
      <c r="J24" s="15">
        <f t="shared" si="1"/>
        <v>50400</v>
      </c>
      <c r="K24" s="15">
        <f t="shared" si="1"/>
        <v>54600</v>
      </c>
      <c r="L24" s="15">
        <f t="shared" si="1"/>
        <v>58800</v>
      </c>
      <c r="M24" s="15">
        <f t="shared" si="1"/>
        <v>63000</v>
      </c>
      <c r="N24" s="15">
        <f t="shared" si="1"/>
        <v>67200</v>
      </c>
      <c r="O24" s="15">
        <f t="shared" si="1"/>
        <v>71400</v>
      </c>
      <c r="P24" s="15">
        <f t="shared" si="1"/>
        <v>75600</v>
      </c>
      <c r="Q24" s="15">
        <f t="shared" si="1"/>
        <v>79800</v>
      </c>
      <c r="R24" s="15">
        <f t="shared" si="1"/>
        <v>84000</v>
      </c>
    </row>
    <row r="25" spans="2:18" x14ac:dyDescent="0.2">
      <c r="B25" s="5">
        <v>430</v>
      </c>
      <c r="C25" s="9">
        <f t="shared" si="2"/>
        <v>130</v>
      </c>
      <c r="F25" s="21"/>
      <c r="G25" s="12">
        <v>430</v>
      </c>
      <c r="H25" s="15">
        <f t="shared" si="1"/>
        <v>43000</v>
      </c>
      <c r="I25" s="15">
        <f t="shared" si="1"/>
        <v>47300</v>
      </c>
      <c r="J25" s="15">
        <f t="shared" si="1"/>
        <v>51600</v>
      </c>
      <c r="K25" s="15">
        <f t="shared" si="1"/>
        <v>55900</v>
      </c>
      <c r="L25" s="15">
        <f t="shared" si="1"/>
        <v>60200</v>
      </c>
      <c r="M25" s="15">
        <f t="shared" si="1"/>
        <v>64500</v>
      </c>
      <c r="N25" s="15">
        <f t="shared" si="1"/>
        <v>68800</v>
      </c>
      <c r="O25" s="15">
        <f t="shared" si="1"/>
        <v>73100</v>
      </c>
      <c r="P25" s="15">
        <f t="shared" si="1"/>
        <v>77400</v>
      </c>
      <c r="Q25" s="15">
        <f t="shared" si="1"/>
        <v>81700</v>
      </c>
      <c r="R25" s="15">
        <f t="shared" si="1"/>
        <v>86000</v>
      </c>
    </row>
    <row r="26" spans="2:18" x14ac:dyDescent="0.2">
      <c r="B26" s="5">
        <v>440</v>
      </c>
      <c r="C26" s="9">
        <f t="shared" si="2"/>
        <v>140</v>
      </c>
      <c r="F26" s="21"/>
      <c r="G26" s="12">
        <v>440</v>
      </c>
      <c r="H26" s="15">
        <f t="shared" si="1"/>
        <v>44000</v>
      </c>
      <c r="I26" s="15">
        <f t="shared" si="1"/>
        <v>48400</v>
      </c>
      <c r="J26" s="15">
        <f t="shared" si="1"/>
        <v>52800</v>
      </c>
      <c r="K26" s="15">
        <f t="shared" si="1"/>
        <v>57200</v>
      </c>
      <c r="L26" s="15">
        <f t="shared" si="1"/>
        <v>61600</v>
      </c>
      <c r="M26" s="15">
        <f t="shared" si="1"/>
        <v>66000</v>
      </c>
      <c r="N26" s="15">
        <f t="shared" si="1"/>
        <v>70400</v>
      </c>
      <c r="O26" s="15">
        <f t="shared" si="1"/>
        <v>74800</v>
      </c>
      <c r="P26" s="15">
        <f t="shared" si="1"/>
        <v>79200</v>
      </c>
      <c r="Q26" s="15">
        <f t="shared" si="1"/>
        <v>83600</v>
      </c>
      <c r="R26" s="15">
        <f t="shared" si="1"/>
        <v>88000</v>
      </c>
    </row>
    <row r="27" spans="2:18" x14ac:dyDescent="0.2">
      <c r="B27" s="5">
        <v>450</v>
      </c>
      <c r="C27" s="9">
        <f t="shared" si="2"/>
        <v>150</v>
      </c>
      <c r="F27" s="21"/>
      <c r="G27" s="12">
        <v>450</v>
      </c>
      <c r="H27" s="15">
        <f t="shared" si="1"/>
        <v>45000</v>
      </c>
      <c r="I27" s="15">
        <f t="shared" si="1"/>
        <v>49500</v>
      </c>
      <c r="J27" s="15">
        <f t="shared" si="1"/>
        <v>54000</v>
      </c>
      <c r="K27" s="15">
        <f t="shared" si="1"/>
        <v>58500</v>
      </c>
      <c r="L27" s="15">
        <f t="shared" si="1"/>
        <v>63000</v>
      </c>
      <c r="M27" s="15">
        <f t="shared" si="1"/>
        <v>67500</v>
      </c>
      <c r="N27" s="15">
        <f t="shared" si="1"/>
        <v>72000</v>
      </c>
      <c r="O27" s="15">
        <f t="shared" si="1"/>
        <v>76500</v>
      </c>
      <c r="P27" s="15">
        <f t="shared" si="1"/>
        <v>81000</v>
      </c>
      <c r="Q27" s="15">
        <f t="shared" si="1"/>
        <v>85500</v>
      </c>
      <c r="R27" s="15">
        <f t="shared" si="1"/>
        <v>90000</v>
      </c>
    </row>
    <row r="28" spans="2:18" x14ac:dyDescent="0.2">
      <c r="B28" s="5">
        <v>460</v>
      </c>
      <c r="C28" s="9">
        <f t="shared" si="2"/>
        <v>160</v>
      </c>
      <c r="F28" s="21"/>
      <c r="G28" s="12">
        <v>460</v>
      </c>
      <c r="H28" s="15">
        <f t="shared" si="1"/>
        <v>46000</v>
      </c>
      <c r="I28" s="15">
        <f t="shared" si="1"/>
        <v>50600</v>
      </c>
      <c r="J28" s="15">
        <f t="shared" si="1"/>
        <v>55200</v>
      </c>
      <c r="K28" s="15">
        <f t="shared" si="1"/>
        <v>59800</v>
      </c>
      <c r="L28" s="15">
        <f t="shared" si="1"/>
        <v>64400</v>
      </c>
      <c r="M28" s="15">
        <f t="shared" si="1"/>
        <v>69000</v>
      </c>
      <c r="N28" s="15">
        <f t="shared" si="1"/>
        <v>73600</v>
      </c>
      <c r="O28" s="15">
        <f t="shared" si="1"/>
        <v>78200</v>
      </c>
      <c r="P28" s="15">
        <f t="shared" si="1"/>
        <v>82800</v>
      </c>
      <c r="Q28" s="15">
        <f t="shared" si="1"/>
        <v>87400</v>
      </c>
      <c r="R28" s="15">
        <f t="shared" si="1"/>
        <v>92000</v>
      </c>
    </row>
    <row r="29" spans="2:18" x14ac:dyDescent="0.2">
      <c r="B29" s="5">
        <v>470</v>
      </c>
      <c r="C29" s="9">
        <f t="shared" si="2"/>
        <v>170</v>
      </c>
      <c r="F29" s="21"/>
      <c r="G29" s="12">
        <v>470</v>
      </c>
      <c r="H29" s="15">
        <f t="shared" si="1"/>
        <v>47000</v>
      </c>
      <c r="I29" s="15">
        <f t="shared" si="1"/>
        <v>51700</v>
      </c>
      <c r="J29" s="15">
        <f t="shared" si="1"/>
        <v>56400</v>
      </c>
      <c r="K29" s="15">
        <f t="shared" si="1"/>
        <v>61100</v>
      </c>
      <c r="L29" s="15">
        <f t="shared" si="1"/>
        <v>65800</v>
      </c>
      <c r="M29" s="15">
        <f t="shared" si="1"/>
        <v>70500</v>
      </c>
      <c r="N29" s="15">
        <f t="shared" si="1"/>
        <v>75200</v>
      </c>
      <c r="O29" s="15">
        <f t="shared" si="1"/>
        <v>79900</v>
      </c>
      <c r="P29" s="15">
        <f t="shared" si="1"/>
        <v>84600</v>
      </c>
      <c r="Q29" s="15">
        <f t="shared" si="1"/>
        <v>89300</v>
      </c>
      <c r="R29" s="15">
        <f t="shared" si="1"/>
        <v>94000</v>
      </c>
    </row>
    <row r="30" spans="2:18" x14ac:dyDescent="0.2">
      <c r="B30" s="5">
        <v>480</v>
      </c>
      <c r="C30" s="9">
        <f t="shared" si="2"/>
        <v>180</v>
      </c>
      <c r="F30" s="21"/>
      <c r="G30" s="12">
        <v>480</v>
      </c>
      <c r="H30" s="15">
        <f t="shared" si="1"/>
        <v>48000</v>
      </c>
      <c r="I30" s="15">
        <f t="shared" si="1"/>
        <v>52800</v>
      </c>
      <c r="J30" s="15">
        <f t="shared" si="1"/>
        <v>57600</v>
      </c>
      <c r="K30" s="15">
        <f t="shared" si="1"/>
        <v>62400</v>
      </c>
      <c r="L30" s="15">
        <f t="shared" si="1"/>
        <v>67200</v>
      </c>
      <c r="M30" s="15">
        <f t="shared" si="1"/>
        <v>72000</v>
      </c>
      <c r="N30" s="15">
        <f t="shared" si="1"/>
        <v>76800</v>
      </c>
      <c r="O30" s="15">
        <f t="shared" si="1"/>
        <v>81600</v>
      </c>
      <c r="P30" s="15">
        <f t="shared" si="1"/>
        <v>86400</v>
      </c>
      <c r="Q30" s="15">
        <f t="shared" si="1"/>
        <v>91200</v>
      </c>
      <c r="R30" s="15">
        <f t="shared" si="1"/>
        <v>96000</v>
      </c>
    </row>
    <row r="31" spans="2:18" x14ac:dyDescent="0.2">
      <c r="B31" s="5">
        <v>490</v>
      </c>
      <c r="C31" s="9">
        <f t="shared" si="2"/>
        <v>190</v>
      </c>
      <c r="F31" s="21"/>
      <c r="G31" s="12">
        <v>490</v>
      </c>
      <c r="H31" s="15">
        <f t="shared" si="1"/>
        <v>49000</v>
      </c>
      <c r="I31" s="15">
        <f t="shared" si="1"/>
        <v>53900</v>
      </c>
      <c r="J31" s="15">
        <f t="shared" si="1"/>
        <v>58800</v>
      </c>
      <c r="K31" s="15">
        <f t="shared" si="1"/>
        <v>63700</v>
      </c>
      <c r="L31" s="15">
        <f t="shared" si="1"/>
        <v>68600</v>
      </c>
      <c r="M31" s="15">
        <f t="shared" si="1"/>
        <v>73500</v>
      </c>
      <c r="N31" s="15">
        <f t="shared" si="1"/>
        <v>78400</v>
      </c>
      <c r="O31" s="15">
        <f t="shared" si="1"/>
        <v>83300</v>
      </c>
      <c r="P31" s="15">
        <f t="shared" si="1"/>
        <v>88200</v>
      </c>
      <c r="Q31" s="15">
        <f t="shared" si="1"/>
        <v>93100</v>
      </c>
      <c r="R31" s="15">
        <f t="shared" si="1"/>
        <v>98000</v>
      </c>
    </row>
    <row r="32" spans="2:18" x14ac:dyDescent="0.2">
      <c r="B32" s="5">
        <v>500</v>
      </c>
      <c r="C32" s="9">
        <f t="shared" si="2"/>
        <v>200</v>
      </c>
      <c r="F32" s="21"/>
      <c r="G32" s="12">
        <v>500</v>
      </c>
      <c r="H32" s="15">
        <f t="shared" si="1"/>
        <v>50000</v>
      </c>
      <c r="I32" s="15">
        <f t="shared" si="1"/>
        <v>55000</v>
      </c>
      <c r="J32" s="15">
        <f t="shared" si="1"/>
        <v>60000</v>
      </c>
      <c r="K32" s="15">
        <f t="shared" si="1"/>
        <v>65000</v>
      </c>
      <c r="L32" s="15">
        <f t="shared" si="1"/>
        <v>70000</v>
      </c>
      <c r="M32" s="15">
        <f t="shared" si="1"/>
        <v>75000</v>
      </c>
      <c r="N32" s="15">
        <f t="shared" si="1"/>
        <v>80000</v>
      </c>
      <c r="O32" s="15">
        <f t="shared" si="1"/>
        <v>85000</v>
      </c>
      <c r="P32" s="15">
        <f t="shared" si="1"/>
        <v>90000</v>
      </c>
      <c r="Q32" s="15">
        <f t="shared" si="1"/>
        <v>95000</v>
      </c>
      <c r="R32" s="16">
        <f t="shared" si="1"/>
        <v>100000</v>
      </c>
    </row>
    <row r="33" spans="2:18" x14ac:dyDescent="0.2">
      <c r="B33" s="5">
        <v>510</v>
      </c>
      <c r="F33" s="21"/>
      <c r="G33" s="12">
        <v>510</v>
      </c>
      <c r="H33" s="15">
        <f t="shared" si="1"/>
        <v>51000</v>
      </c>
      <c r="I33" s="15">
        <f t="shared" si="1"/>
        <v>56100</v>
      </c>
      <c r="J33" s="15">
        <f t="shared" si="1"/>
        <v>61200</v>
      </c>
      <c r="K33" s="15">
        <f t="shared" si="1"/>
        <v>66300</v>
      </c>
      <c r="L33" s="15">
        <f t="shared" si="1"/>
        <v>71400</v>
      </c>
      <c r="M33" s="15">
        <f t="shared" si="1"/>
        <v>76500</v>
      </c>
      <c r="N33" s="15">
        <f t="shared" si="1"/>
        <v>81600</v>
      </c>
      <c r="O33" s="15">
        <f t="shared" si="1"/>
        <v>86700</v>
      </c>
      <c r="P33" s="15">
        <f t="shared" si="1"/>
        <v>91800</v>
      </c>
      <c r="Q33" s="15">
        <f t="shared" si="1"/>
        <v>96900</v>
      </c>
      <c r="R33" s="16">
        <f t="shared" si="1"/>
        <v>102000</v>
      </c>
    </row>
    <row r="34" spans="2:18" x14ac:dyDescent="0.2">
      <c r="B34" s="5">
        <v>520</v>
      </c>
      <c r="F34" s="21"/>
      <c r="G34" s="12">
        <v>520</v>
      </c>
      <c r="H34" s="15">
        <f t="shared" si="1"/>
        <v>52000</v>
      </c>
      <c r="I34" s="15">
        <f t="shared" si="1"/>
        <v>57200</v>
      </c>
      <c r="J34" s="15">
        <f t="shared" si="1"/>
        <v>62400</v>
      </c>
      <c r="K34" s="15">
        <f t="shared" si="1"/>
        <v>67600</v>
      </c>
      <c r="L34" s="15">
        <f t="shared" si="1"/>
        <v>72800</v>
      </c>
      <c r="M34" s="15">
        <f t="shared" si="1"/>
        <v>78000</v>
      </c>
      <c r="N34" s="15">
        <f t="shared" si="1"/>
        <v>83200</v>
      </c>
      <c r="O34" s="15">
        <f t="shared" si="1"/>
        <v>88400</v>
      </c>
      <c r="P34" s="15">
        <f t="shared" si="1"/>
        <v>93600</v>
      </c>
      <c r="Q34" s="15">
        <f t="shared" si="1"/>
        <v>98800</v>
      </c>
      <c r="R34" s="16">
        <f t="shared" si="1"/>
        <v>104000</v>
      </c>
    </row>
    <row r="35" spans="2:18" x14ac:dyDescent="0.2">
      <c r="B35" s="5">
        <v>530</v>
      </c>
      <c r="F35" s="21"/>
      <c r="G35" s="12">
        <v>530</v>
      </c>
      <c r="H35" s="15">
        <f t="shared" si="1"/>
        <v>53000</v>
      </c>
      <c r="I35" s="15">
        <f t="shared" si="1"/>
        <v>58300</v>
      </c>
      <c r="J35" s="15">
        <f t="shared" si="1"/>
        <v>63600</v>
      </c>
      <c r="K35" s="15">
        <f t="shared" si="1"/>
        <v>68900</v>
      </c>
      <c r="L35" s="15">
        <f t="shared" si="1"/>
        <v>74200</v>
      </c>
      <c r="M35" s="15">
        <f t="shared" si="1"/>
        <v>79500</v>
      </c>
      <c r="N35" s="15">
        <f t="shared" si="1"/>
        <v>84800</v>
      </c>
      <c r="O35" s="15">
        <f t="shared" si="1"/>
        <v>90100</v>
      </c>
      <c r="P35" s="15">
        <f t="shared" si="1"/>
        <v>95400</v>
      </c>
      <c r="Q35" s="16">
        <f t="shared" si="1"/>
        <v>100700</v>
      </c>
      <c r="R35" s="16">
        <f t="shared" si="1"/>
        <v>106000</v>
      </c>
    </row>
    <row r="36" spans="2:18" x14ac:dyDescent="0.2">
      <c r="B36" s="5">
        <v>540</v>
      </c>
      <c r="F36" s="21"/>
      <c r="G36" s="12">
        <v>540</v>
      </c>
      <c r="H36" s="15">
        <f t="shared" si="1"/>
        <v>54000</v>
      </c>
      <c r="I36" s="15">
        <f t="shared" si="1"/>
        <v>59400</v>
      </c>
      <c r="J36" s="15">
        <f t="shared" si="1"/>
        <v>64800</v>
      </c>
      <c r="K36" s="15">
        <f t="shared" si="1"/>
        <v>70200</v>
      </c>
      <c r="L36" s="15">
        <f t="shared" si="1"/>
        <v>75600</v>
      </c>
      <c r="M36" s="15">
        <f t="shared" si="1"/>
        <v>81000</v>
      </c>
      <c r="N36" s="15">
        <f t="shared" si="1"/>
        <v>86400</v>
      </c>
      <c r="O36" s="15">
        <f t="shared" si="1"/>
        <v>91800</v>
      </c>
      <c r="P36" s="15">
        <f t="shared" si="1"/>
        <v>97200</v>
      </c>
      <c r="Q36" s="16">
        <f t="shared" si="1"/>
        <v>102600</v>
      </c>
      <c r="R36" s="16">
        <f t="shared" si="1"/>
        <v>108000</v>
      </c>
    </row>
    <row r="37" spans="2:18" x14ac:dyDescent="0.2">
      <c r="B37" s="5">
        <v>550</v>
      </c>
      <c r="F37" s="21"/>
      <c r="G37" s="12">
        <v>550</v>
      </c>
      <c r="H37" s="15">
        <f t="shared" si="1"/>
        <v>55000</v>
      </c>
      <c r="I37" s="15">
        <f t="shared" si="1"/>
        <v>60500</v>
      </c>
      <c r="J37" s="15">
        <f t="shared" si="1"/>
        <v>66000</v>
      </c>
      <c r="K37" s="15">
        <f t="shared" si="1"/>
        <v>71500</v>
      </c>
      <c r="L37" s="15">
        <f t="shared" si="1"/>
        <v>77000</v>
      </c>
      <c r="M37" s="15">
        <f t="shared" si="1"/>
        <v>82500</v>
      </c>
      <c r="N37" s="15">
        <f t="shared" si="1"/>
        <v>88000</v>
      </c>
      <c r="O37" s="15">
        <f t="shared" si="1"/>
        <v>93500</v>
      </c>
      <c r="P37" s="15">
        <f t="shared" si="1"/>
        <v>99000</v>
      </c>
      <c r="Q37" s="16">
        <f t="shared" si="1"/>
        <v>104500</v>
      </c>
      <c r="R37" s="16">
        <f t="shared" si="1"/>
        <v>110000</v>
      </c>
    </row>
    <row r="38" spans="2:18" x14ac:dyDescent="0.2">
      <c r="B38" s="5">
        <v>560</v>
      </c>
      <c r="F38" s="21"/>
      <c r="G38" s="12">
        <v>560</v>
      </c>
      <c r="H38" s="15">
        <f t="shared" si="1"/>
        <v>56000</v>
      </c>
      <c r="I38" s="15">
        <f t="shared" si="1"/>
        <v>61600</v>
      </c>
      <c r="J38" s="15">
        <f t="shared" si="1"/>
        <v>67200</v>
      </c>
      <c r="K38" s="15">
        <f t="shared" si="1"/>
        <v>72800</v>
      </c>
      <c r="L38" s="15">
        <f t="shared" si="1"/>
        <v>78400</v>
      </c>
      <c r="M38" s="15">
        <f t="shared" si="1"/>
        <v>84000</v>
      </c>
      <c r="N38" s="15">
        <f t="shared" si="1"/>
        <v>89600</v>
      </c>
      <c r="O38" s="15">
        <f t="shared" si="1"/>
        <v>95200</v>
      </c>
      <c r="P38" s="16">
        <f t="shared" si="1"/>
        <v>100800</v>
      </c>
      <c r="Q38" s="16">
        <f t="shared" si="1"/>
        <v>106400</v>
      </c>
      <c r="R38" s="16">
        <f t="shared" si="1"/>
        <v>112000</v>
      </c>
    </row>
    <row r="39" spans="2:18" x14ac:dyDescent="0.2">
      <c r="B39" s="5">
        <v>570</v>
      </c>
      <c r="F39" s="21"/>
      <c r="G39" s="12">
        <v>570</v>
      </c>
      <c r="H39" s="15">
        <f t="shared" si="1"/>
        <v>57000</v>
      </c>
      <c r="I39" s="15">
        <f t="shared" si="1"/>
        <v>62700</v>
      </c>
      <c r="J39" s="15">
        <f t="shared" si="1"/>
        <v>68400</v>
      </c>
      <c r="K39" s="15">
        <f t="shared" si="1"/>
        <v>74100</v>
      </c>
      <c r="L39" s="15">
        <f t="shared" si="1"/>
        <v>79800</v>
      </c>
      <c r="M39" s="15">
        <f t="shared" si="1"/>
        <v>85500</v>
      </c>
      <c r="N39" s="15">
        <f t="shared" si="1"/>
        <v>91200</v>
      </c>
      <c r="O39" s="15">
        <f t="shared" si="1"/>
        <v>96900</v>
      </c>
      <c r="P39" s="16">
        <f t="shared" si="1"/>
        <v>102600</v>
      </c>
      <c r="Q39" s="16">
        <f t="shared" si="1"/>
        <v>108300</v>
      </c>
      <c r="R39" s="16">
        <f t="shared" si="1"/>
        <v>114000</v>
      </c>
    </row>
    <row r="40" spans="2:18" x14ac:dyDescent="0.2">
      <c r="B40" s="5">
        <v>580</v>
      </c>
      <c r="F40" s="21"/>
      <c r="G40" s="12">
        <v>580</v>
      </c>
      <c r="H40" s="15">
        <f t="shared" si="1"/>
        <v>58000</v>
      </c>
      <c r="I40" s="15">
        <f t="shared" si="1"/>
        <v>63800</v>
      </c>
      <c r="J40" s="15">
        <f t="shared" si="1"/>
        <v>69600</v>
      </c>
      <c r="K40" s="15">
        <f t="shared" si="1"/>
        <v>75400</v>
      </c>
      <c r="L40" s="15">
        <f t="shared" si="1"/>
        <v>81200</v>
      </c>
      <c r="M40" s="15">
        <f t="shared" si="1"/>
        <v>87000</v>
      </c>
      <c r="N40" s="15">
        <f t="shared" si="1"/>
        <v>92800</v>
      </c>
      <c r="O40" s="15">
        <f t="shared" si="1"/>
        <v>98600</v>
      </c>
      <c r="P40" s="16">
        <f t="shared" si="1"/>
        <v>104400</v>
      </c>
      <c r="Q40" s="16">
        <f t="shared" si="1"/>
        <v>110200</v>
      </c>
      <c r="R40" s="16">
        <f t="shared" si="1"/>
        <v>116000</v>
      </c>
    </row>
    <row r="41" spans="2:18" x14ac:dyDescent="0.2">
      <c r="B41" s="5">
        <v>590</v>
      </c>
      <c r="F41" s="21"/>
      <c r="G41" s="12">
        <v>590</v>
      </c>
      <c r="H41" s="15">
        <f t="shared" si="1"/>
        <v>59000</v>
      </c>
      <c r="I41" s="15">
        <f t="shared" si="1"/>
        <v>64900</v>
      </c>
      <c r="J41" s="15">
        <f t="shared" si="1"/>
        <v>70800</v>
      </c>
      <c r="K41" s="15">
        <f t="shared" si="1"/>
        <v>76700</v>
      </c>
      <c r="L41" s="15">
        <f t="shared" si="1"/>
        <v>82600</v>
      </c>
      <c r="M41" s="15">
        <f t="shared" si="1"/>
        <v>88500</v>
      </c>
      <c r="N41" s="15">
        <f t="shared" si="1"/>
        <v>94400</v>
      </c>
      <c r="O41" s="16">
        <f t="shared" si="1"/>
        <v>100300</v>
      </c>
      <c r="P41" s="16">
        <f t="shared" si="1"/>
        <v>106200</v>
      </c>
      <c r="Q41" s="16">
        <f t="shared" si="1"/>
        <v>112100</v>
      </c>
      <c r="R41" s="16">
        <f t="shared" si="1"/>
        <v>118000</v>
      </c>
    </row>
    <row r="42" spans="2:18" x14ac:dyDescent="0.2">
      <c r="B42" s="5">
        <v>600</v>
      </c>
      <c r="F42" s="21"/>
      <c r="G42" s="12">
        <v>600</v>
      </c>
      <c r="H42" s="15">
        <f t="shared" si="1"/>
        <v>60000</v>
      </c>
      <c r="I42" s="15">
        <f t="shared" si="1"/>
        <v>66000</v>
      </c>
      <c r="J42" s="15">
        <f t="shared" si="1"/>
        <v>72000</v>
      </c>
      <c r="K42" s="15">
        <f t="shared" si="1"/>
        <v>78000</v>
      </c>
      <c r="L42" s="15">
        <f t="shared" si="1"/>
        <v>84000</v>
      </c>
      <c r="M42" s="15">
        <f t="shared" si="1"/>
        <v>90000</v>
      </c>
      <c r="N42" s="15">
        <f t="shared" si="1"/>
        <v>96000</v>
      </c>
      <c r="O42" s="16">
        <f t="shared" si="1"/>
        <v>102000</v>
      </c>
      <c r="P42" s="16">
        <f t="shared" si="1"/>
        <v>108000</v>
      </c>
      <c r="Q42" s="16">
        <f t="shared" si="1"/>
        <v>114000</v>
      </c>
      <c r="R42" s="16">
        <f t="shared" si="1"/>
        <v>120000</v>
      </c>
    </row>
    <row r="48" spans="2:18" ht="18.75" x14ac:dyDescent="0.3">
      <c r="B48" s="1" t="s">
        <v>8</v>
      </c>
    </row>
    <row r="49" spans="2:4" ht="17.45" customHeight="1" x14ac:dyDescent="0.2"/>
    <row r="50" spans="2:4" x14ac:dyDescent="0.2">
      <c r="B50" s="5" t="s">
        <v>15</v>
      </c>
    </row>
    <row r="51" spans="2:4" ht="22.35" customHeight="1" x14ac:dyDescent="0.2">
      <c r="B51" s="5" t="s">
        <v>16</v>
      </c>
    </row>
    <row r="52" spans="2:4" ht="9.6" customHeight="1" x14ac:dyDescent="0.2"/>
    <row r="54" spans="2:4" x14ac:dyDescent="0.2">
      <c r="B54" s="17" t="s">
        <v>9</v>
      </c>
      <c r="C54" s="17"/>
      <c r="D54" s="18">
        <f>SUM(revenue_combination)</f>
        <v>17325000</v>
      </c>
    </row>
    <row r="55" spans="2:4" x14ac:dyDescent="0.2">
      <c r="B55" s="17" t="s">
        <v>10</v>
      </c>
      <c r="C55" s="17"/>
      <c r="D55" s="18">
        <f>COUNT(revenue_combination)</f>
        <v>231</v>
      </c>
    </row>
    <row r="56" spans="2:4" x14ac:dyDescent="0.2">
      <c r="B56" s="17" t="s">
        <v>11</v>
      </c>
      <c r="C56" s="17"/>
      <c r="D56" s="18">
        <f>AVERAGE(revenue_combination)</f>
        <v>75000</v>
      </c>
    </row>
  </sheetData>
  <mergeCells count="3">
    <mergeCell ref="B10:J17"/>
    <mergeCell ref="G20:Q20"/>
    <mergeCell ref="F23:F42"/>
  </mergeCells>
  <pageMargins left="0.7" right="0.7" top="0.75" bottom="0.75" header="0.3" footer="0.3"/>
  <pageSetup scale="5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hisWorkbook.send_to_answer_1">
                <anchor moveWithCells="1" sizeWithCells="1">
                  <from>
                    <xdr:col>10</xdr:col>
                    <xdr:colOff>333375</xdr:colOff>
                    <xdr:row>7</xdr:row>
                    <xdr:rowOff>190500</xdr:rowOff>
                  </from>
                  <to>
                    <xdr:col>13</xdr:col>
                    <xdr:colOff>180975</xdr:colOff>
                    <xdr:row>10</xdr:row>
                    <xdr:rowOff>0</xdr:rowOff>
                  </to>
                </anchor>
              </controlPr>
            </control>
          </mc:Choice>
        </mc:AlternateContent>
        <mc:AlternateContent xmlns:mc="http://schemas.openxmlformats.org/markup-compatibility/2006">
          <mc:Choice Requires="x14">
            <control shapeId="1026" r:id="rId5" name="Button 2">
              <controlPr defaultSize="0" print="0" autoFill="0" autoPict="0" macro="[0]!ThisWorkbook.send_to_answer_2">
                <anchor moveWithCells="1" sizeWithCells="1">
                  <from>
                    <xdr:col>11</xdr:col>
                    <xdr:colOff>47625</xdr:colOff>
                    <xdr:row>51</xdr:row>
                    <xdr:rowOff>28575</xdr:rowOff>
                  </from>
                  <to>
                    <xdr:col>13</xdr:col>
                    <xdr:colOff>390525</xdr:colOff>
                    <xdr:row>54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249977111117893"/>
  </sheetPr>
  <dimension ref="A1:R56"/>
  <sheetViews>
    <sheetView showGridLines="0" topLeftCell="B30" workbookViewId="0">
      <selection activeCell="K48" sqref="K48"/>
    </sheetView>
  </sheetViews>
  <sheetFormatPr defaultColWidth="9" defaultRowHeight="12" x14ac:dyDescent="0.2"/>
  <cols>
    <col min="2" max="2" width="17.140625" customWidth="1"/>
    <col min="3" max="3" width="26.140625" bestFit="1" customWidth="1"/>
    <col min="4" max="4" width="12.42578125" bestFit="1" customWidth="1"/>
    <col min="5" max="5" width="12.42578125" style="5" customWidth="1"/>
    <col min="6" max="6" width="3.42578125" customWidth="1"/>
    <col min="7" max="7" width="8.42578125" bestFit="1" customWidth="1"/>
    <col min="8" max="10" width="7.5703125" bestFit="1" customWidth="1"/>
    <col min="11" max="11" width="7.5703125" style="5" bestFit="1" customWidth="1"/>
    <col min="12" max="14" width="7.5703125" bestFit="1" customWidth="1"/>
    <col min="15" max="18" width="8.5703125" bestFit="1" customWidth="1"/>
  </cols>
  <sheetData>
    <row r="1" spans="1:11" ht="12.75" x14ac:dyDescent="0.2">
      <c r="A1" s="4" t="str">
        <f>'Cover Page'!A1</f>
        <v>Problem Solving With Excel</v>
      </c>
    </row>
    <row r="2" spans="1:11" ht="12.75" x14ac:dyDescent="0.2">
      <c r="A2" s="4" t="str">
        <f>'Cover Page'!A2</f>
        <v>Week 1 project</v>
      </c>
    </row>
    <row r="3" spans="1:11" ht="12.75" x14ac:dyDescent="0.2">
      <c r="A3" s="4">
        <f>'Cover Page'!A3</f>
        <v>0</v>
      </c>
    </row>
    <row r="4" spans="1:11" ht="12.75" x14ac:dyDescent="0.2">
      <c r="A4" s="4" t="s">
        <v>1</v>
      </c>
    </row>
    <row r="7" spans="1:11" ht="18.75" x14ac:dyDescent="0.3">
      <c r="B7" s="1" t="s">
        <v>2</v>
      </c>
    </row>
    <row r="8" spans="1:11" ht="17.45" customHeight="1" x14ac:dyDescent="0.2">
      <c r="K8"/>
    </row>
    <row r="9" spans="1:11" ht="8.1" customHeight="1" x14ac:dyDescent="0.2">
      <c r="K9"/>
    </row>
    <row r="10" spans="1:11" ht="22.35" customHeight="1" x14ac:dyDescent="0.2">
      <c r="B10" s="19" t="s">
        <v>17</v>
      </c>
      <c r="C10" s="19"/>
      <c r="D10" s="19"/>
      <c r="E10" s="19"/>
      <c r="F10" s="19"/>
      <c r="G10" s="19"/>
      <c r="H10" s="19"/>
      <c r="I10" s="19"/>
      <c r="J10" s="19"/>
      <c r="K10"/>
    </row>
    <row r="11" spans="1:11" ht="9.6" customHeight="1" x14ac:dyDescent="0.2">
      <c r="B11" s="19"/>
      <c r="C11" s="19"/>
      <c r="D11" s="19"/>
      <c r="E11" s="19"/>
      <c r="F11" s="19"/>
      <c r="G11" s="19"/>
      <c r="H11" s="19"/>
      <c r="I11" s="19"/>
      <c r="J11" s="19"/>
      <c r="K11"/>
    </row>
    <row r="12" spans="1:11" x14ac:dyDescent="0.2">
      <c r="B12" s="19"/>
      <c r="C12" s="19"/>
      <c r="D12" s="19"/>
      <c r="E12" s="19"/>
      <c r="F12" s="19"/>
      <c r="G12" s="19"/>
      <c r="H12" s="19"/>
      <c r="I12" s="19"/>
      <c r="J12" s="19"/>
      <c r="K12"/>
    </row>
    <row r="13" spans="1:11" x14ac:dyDescent="0.2">
      <c r="B13" s="19"/>
      <c r="C13" s="19"/>
      <c r="D13" s="19"/>
      <c r="E13" s="19"/>
      <c r="F13" s="19"/>
      <c r="G13" s="19"/>
      <c r="H13" s="19"/>
      <c r="I13" s="19"/>
      <c r="J13" s="19"/>
      <c r="K13"/>
    </row>
    <row r="14" spans="1:11" x14ac:dyDescent="0.2">
      <c r="B14" s="19"/>
      <c r="C14" s="19"/>
      <c r="D14" s="19"/>
      <c r="E14" s="19"/>
      <c r="F14" s="19"/>
      <c r="G14" s="19"/>
      <c r="H14" s="19"/>
      <c r="I14" s="19"/>
      <c r="J14" s="19"/>
      <c r="K14"/>
    </row>
    <row r="15" spans="1:11" x14ac:dyDescent="0.2">
      <c r="B15" s="19"/>
      <c r="C15" s="19"/>
      <c r="D15" s="19"/>
      <c r="E15" s="19"/>
      <c r="F15" s="19"/>
      <c r="G15" s="19"/>
      <c r="H15" s="19"/>
      <c r="I15" s="19"/>
      <c r="J15" s="19"/>
      <c r="K15"/>
    </row>
    <row r="16" spans="1:11" x14ac:dyDescent="0.2">
      <c r="B16" s="19"/>
      <c r="C16" s="19"/>
      <c r="D16" s="19"/>
      <c r="E16" s="19"/>
      <c r="F16" s="19"/>
      <c r="G16" s="19"/>
      <c r="H16" s="19"/>
      <c r="I16" s="19"/>
      <c r="J16" s="19"/>
      <c r="K16"/>
    </row>
    <row r="17" spans="2:18" x14ac:dyDescent="0.2">
      <c r="B17" s="19"/>
      <c r="C17" s="19"/>
      <c r="D17" s="19"/>
      <c r="E17" s="19"/>
      <c r="F17" s="19"/>
      <c r="G17" s="19"/>
      <c r="H17" s="19"/>
      <c r="I17" s="19"/>
      <c r="J17" s="19"/>
      <c r="K17"/>
    </row>
    <row r="18" spans="2:18" x14ac:dyDescent="0.2">
      <c r="B18" s="7" t="s">
        <v>5</v>
      </c>
      <c r="C18" s="10" t="s">
        <v>7</v>
      </c>
      <c r="D18" s="11">
        <v>10</v>
      </c>
      <c r="E18"/>
      <c r="G18" s="7" t="s">
        <v>6</v>
      </c>
      <c r="K18"/>
      <c r="O18" t="s">
        <v>13</v>
      </c>
      <c r="P18" s="16"/>
    </row>
    <row r="19" spans="2:18" s="5" customFormat="1" x14ac:dyDescent="0.2">
      <c r="B19" s="7"/>
      <c r="C19" s="10"/>
      <c r="D19"/>
      <c r="E19"/>
      <c r="G19" s="7"/>
    </row>
    <row r="20" spans="2:18" s="5" customFormat="1" x14ac:dyDescent="0.2">
      <c r="B20" s="6"/>
      <c r="G20" s="20" t="s">
        <v>3</v>
      </c>
      <c r="H20" s="20"/>
      <c r="I20" s="20"/>
      <c r="J20" s="20"/>
      <c r="K20" s="20"/>
      <c r="L20" s="20"/>
      <c r="M20" s="20"/>
      <c r="N20" s="20"/>
      <c r="O20" s="20"/>
      <c r="P20" s="20"/>
      <c r="Q20" s="20"/>
    </row>
    <row r="21" spans="2:18" ht="12.75" thickBot="1" x14ac:dyDescent="0.25">
      <c r="B21" s="8" t="s">
        <v>4</v>
      </c>
      <c r="C21" s="8" t="s">
        <v>3</v>
      </c>
      <c r="H21" s="13">
        <v>100</v>
      </c>
      <c r="I21" s="13">
        <v>110</v>
      </c>
      <c r="J21" s="13">
        <v>120</v>
      </c>
      <c r="K21" s="13">
        <v>130</v>
      </c>
      <c r="L21" s="13">
        <v>140</v>
      </c>
      <c r="M21" s="13">
        <v>150</v>
      </c>
      <c r="N21" s="13">
        <v>160</v>
      </c>
      <c r="O21" s="13">
        <v>170</v>
      </c>
      <c r="P21" s="13">
        <v>180</v>
      </c>
      <c r="Q21" s="13">
        <v>190</v>
      </c>
      <c r="R21" s="13">
        <v>200</v>
      </c>
    </row>
    <row r="22" spans="2:18" x14ac:dyDescent="0.2">
      <c r="B22">
        <v>400</v>
      </c>
      <c r="C22" s="9">
        <v>100</v>
      </c>
      <c r="G22" s="12">
        <v>400</v>
      </c>
      <c r="H22" s="15">
        <f>$G22*H$21</f>
        <v>40000</v>
      </c>
      <c r="I22" s="14">
        <f t="shared" ref="I22:R37" si="0">$G22*I$21</f>
        <v>44000</v>
      </c>
      <c r="J22" s="14">
        <f t="shared" si="0"/>
        <v>48000</v>
      </c>
      <c r="K22" s="14">
        <f t="shared" si="0"/>
        <v>52000</v>
      </c>
      <c r="L22" s="14">
        <f t="shared" si="0"/>
        <v>56000</v>
      </c>
      <c r="M22" s="14">
        <f t="shared" si="0"/>
        <v>60000</v>
      </c>
      <c r="N22" s="14">
        <f t="shared" si="0"/>
        <v>64000</v>
      </c>
      <c r="O22" s="14">
        <f t="shared" si="0"/>
        <v>68000</v>
      </c>
      <c r="P22" s="14">
        <f t="shared" si="0"/>
        <v>72000</v>
      </c>
      <c r="Q22" s="14">
        <f t="shared" si="0"/>
        <v>76000</v>
      </c>
      <c r="R22" s="14">
        <f t="shared" si="0"/>
        <v>80000</v>
      </c>
    </row>
    <row r="23" spans="2:18" x14ac:dyDescent="0.2">
      <c r="B23">
        <v>410</v>
      </c>
      <c r="C23" s="9">
        <f>C22+$D$18</f>
        <v>110</v>
      </c>
      <c r="F23" s="21" t="s">
        <v>4</v>
      </c>
      <c r="G23" s="12">
        <v>410</v>
      </c>
      <c r="H23" s="14">
        <f t="shared" ref="H23:R38" si="1">$G23*H$21</f>
        <v>41000</v>
      </c>
      <c r="I23" s="14">
        <f t="shared" si="0"/>
        <v>45100</v>
      </c>
      <c r="J23" s="14">
        <f t="shared" si="0"/>
        <v>49200</v>
      </c>
      <c r="K23" s="14">
        <f t="shared" si="0"/>
        <v>53300</v>
      </c>
      <c r="L23" s="14">
        <f t="shared" si="0"/>
        <v>57400</v>
      </c>
      <c r="M23" s="14">
        <f t="shared" si="0"/>
        <v>61500</v>
      </c>
      <c r="N23" s="14">
        <f t="shared" si="0"/>
        <v>65600</v>
      </c>
      <c r="O23" s="14">
        <f t="shared" si="0"/>
        <v>69700</v>
      </c>
      <c r="P23" s="14">
        <f t="shared" si="0"/>
        <v>73800</v>
      </c>
      <c r="Q23" s="14">
        <f t="shared" si="0"/>
        <v>77900</v>
      </c>
      <c r="R23" s="14">
        <f t="shared" si="0"/>
        <v>82000</v>
      </c>
    </row>
    <row r="24" spans="2:18" x14ac:dyDescent="0.2">
      <c r="B24">
        <v>420</v>
      </c>
      <c r="C24" s="9">
        <f t="shared" ref="C24:C32" si="2">C23+$D$18</f>
        <v>120</v>
      </c>
      <c r="F24" s="21"/>
      <c r="G24" s="12">
        <v>420</v>
      </c>
      <c r="H24" s="14">
        <f t="shared" si="1"/>
        <v>42000</v>
      </c>
      <c r="I24" s="14">
        <f t="shared" si="0"/>
        <v>46200</v>
      </c>
      <c r="J24" s="14">
        <f t="shared" si="0"/>
        <v>50400</v>
      </c>
      <c r="K24" s="14">
        <f t="shared" si="0"/>
        <v>54600</v>
      </c>
      <c r="L24" s="14">
        <f t="shared" si="0"/>
        <v>58800</v>
      </c>
      <c r="M24" s="14">
        <f t="shared" si="0"/>
        <v>63000</v>
      </c>
      <c r="N24" s="14">
        <f t="shared" si="0"/>
        <v>67200</v>
      </c>
      <c r="O24" s="14">
        <f t="shared" si="0"/>
        <v>71400</v>
      </c>
      <c r="P24" s="14">
        <f t="shared" si="0"/>
        <v>75600</v>
      </c>
      <c r="Q24" s="14">
        <f t="shared" si="0"/>
        <v>79800</v>
      </c>
      <c r="R24" s="14">
        <f t="shared" si="0"/>
        <v>84000</v>
      </c>
    </row>
    <row r="25" spans="2:18" x14ac:dyDescent="0.2">
      <c r="B25">
        <v>430</v>
      </c>
      <c r="C25" s="9">
        <f t="shared" si="2"/>
        <v>130</v>
      </c>
      <c r="F25" s="21"/>
      <c r="G25" s="12">
        <v>430</v>
      </c>
      <c r="H25" s="14">
        <f t="shared" si="1"/>
        <v>43000</v>
      </c>
      <c r="I25" s="14">
        <f t="shared" si="0"/>
        <v>47300</v>
      </c>
      <c r="J25" s="14">
        <f t="shared" si="0"/>
        <v>51600</v>
      </c>
      <c r="K25" s="14">
        <f t="shared" si="0"/>
        <v>55900</v>
      </c>
      <c r="L25" s="14">
        <f t="shared" si="0"/>
        <v>60200</v>
      </c>
      <c r="M25" s="14">
        <f t="shared" si="0"/>
        <v>64500</v>
      </c>
      <c r="N25" s="14">
        <f t="shared" si="0"/>
        <v>68800</v>
      </c>
      <c r="O25" s="14">
        <f t="shared" si="0"/>
        <v>73100</v>
      </c>
      <c r="P25" s="14">
        <f t="shared" si="0"/>
        <v>77400</v>
      </c>
      <c r="Q25" s="14">
        <f t="shared" si="0"/>
        <v>81700</v>
      </c>
      <c r="R25" s="14">
        <f t="shared" si="0"/>
        <v>86000</v>
      </c>
    </row>
    <row r="26" spans="2:18" x14ac:dyDescent="0.2">
      <c r="B26" s="5">
        <v>440</v>
      </c>
      <c r="C26" s="9">
        <f t="shared" si="2"/>
        <v>140</v>
      </c>
      <c r="F26" s="21"/>
      <c r="G26" s="12">
        <v>440</v>
      </c>
      <c r="H26" s="14">
        <f t="shared" si="1"/>
        <v>44000</v>
      </c>
      <c r="I26" s="14">
        <f t="shared" si="0"/>
        <v>48400</v>
      </c>
      <c r="J26" s="14">
        <f t="shared" si="0"/>
        <v>52800</v>
      </c>
      <c r="K26" s="14">
        <f t="shared" si="0"/>
        <v>57200</v>
      </c>
      <c r="L26" s="14">
        <f t="shared" si="0"/>
        <v>61600</v>
      </c>
      <c r="M26" s="14">
        <f t="shared" si="0"/>
        <v>66000</v>
      </c>
      <c r="N26" s="14">
        <f t="shared" si="0"/>
        <v>70400</v>
      </c>
      <c r="O26" s="14">
        <f t="shared" si="0"/>
        <v>74800</v>
      </c>
      <c r="P26" s="14">
        <f t="shared" si="0"/>
        <v>79200</v>
      </c>
      <c r="Q26" s="14">
        <f t="shared" si="0"/>
        <v>83600</v>
      </c>
      <c r="R26" s="14">
        <f t="shared" si="0"/>
        <v>88000</v>
      </c>
    </row>
    <row r="27" spans="2:18" x14ac:dyDescent="0.2">
      <c r="B27" s="5">
        <v>450</v>
      </c>
      <c r="C27" s="9">
        <f t="shared" si="2"/>
        <v>150</v>
      </c>
      <c r="F27" s="21"/>
      <c r="G27" s="12">
        <v>450</v>
      </c>
      <c r="H27" s="14">
        <f t="shared" si="1"/>
        <v>45000</v>
      </c>
      <c r="I27" s="14">
        <f t="shared" si="0"/>
        <v>49500</v>
      </c>
      <c r="J27" s="14">
        <f t="shared" si="0"/>
        <v>54000</v>
      </c>
      <c r="K27" s="14">
        <f t="shared" si="0"/>
        <v>58500</v>
      </c>
      <c r="L27" s="14">
        <f t="shared" si="0"/>
        <v>63000</v>
      </c>
      <c r="M27" s="14">
        <f t="shared" si="0"/>
        <v>67500</v>
      </c>
      <c r="N27" s="14">
        <f t="shared" si="0"/>
        <v>72000</v>
      </c>
      <c r="O27" s="14">
        <f t="shared" si="0"/>
        <v>76500</v>
      </c>
      <c r="P27" s="14">
        <f t="shared" si="0"/>
        <v>81000</v>
      </c>
      <c r="Q27" s="14">
        <f t="shared" si="0"/>
        <v>85500</v>
      </c>
      <c r="R27" s="14">
        <f t="shared" si="0"/>
        <v>90000</v>
      </c>
    </row>
    <row r="28" spans="2:18" x14ac:dyDescent="0.2">
      <c r="B28" s="5">
        <v>460</v>
      </c>
      <c r="C28" s="9">
        <f t="shared" si="2"/>
        <v>160</v>
      </c>
      <c r="F28" s="21"/>
      <c r="G28" s="12">
        <v>460</v>
      </c>
      <c r="H28" s="14">
        <f t="shared" si="1"/>
        <v>46000</v>
      </c>
      <c r="I28" s="14">
        <f t="shared" si="0"/>
        <v>50600</v>
      </c>
      <c r="J28" s="14">
        <f t="shared" si="0"/>
        <v>55200</v>
      </c>
      <c r="K28" s="14">
        <f t="shared" si="0"/>
        <v>59800</v>
      </c>
      <c r="L28" s="14">
        <f t="shared" si="0"/>
        <v>64400</v>
      </c>
      <c r="M28" s="14">
        <f t="shared" si="0"/>
        <v>69000</v>
      </c>
      <c r="N28" s="14">
        <f t="shared" si="0"/>
        <v>73600</v>
      </c>
      <c r="O28" s="14">
        <f t="shared" si="0"/>
        <v>78200</v>
      </c>
      <c r="P28" s="14">
        <f t="shared" si="0"/>
        <v>82800</v>
      </c>
      <c r="Q28" s="14">
        <f t="shared" si="0"/>
        <v>87400</v>
      </c>
      <c r="R28" s="14">
        <f t="shared" si="0"/>
        <v>92000</v>
      </c>
    </row>
    <row r="29" spans="2:18" x14ac:dyDescent="0.2">
      <c r="B29" s="5">
        <v>470</v>
      </c>
      <c r="C29" s="9">
        <f t="shared" si="2"/>
        <v>170</v>
      </c>
      <c r="F29" s="21"/>
      <c r="G29" s="12">
        <v>470</v>
      </c>
      <c r="H29" s="14">
        <f t="shared" si="1"/>
        <v>47000</v>
      </c>
      <c r="I29" s="14">
        <f t="shared" si="0"/>
        <v>51700</v>
      </c>
      <c r="J29" s="14">
        <f t="shared" si="0"/>
        <v>56400</v>
      </c>
      <c r="K29" s="14">
        <f t="shared" si="0"/>
        <v>61100</v>
      </c>
      <c r="L29" s="14">
        <f t="shared" si="0"/>
        <v>65800</v>
      </c>
      <c r="M29" s="14">
        <f t="shared" si="0"/>
        <v>70500</v>
      </c>
      <c r="N29" s="14">
        <f t="shared" si="0"/>
        <v>75200</v>
      </c>
      <c r="O29" s="14">
        <f t="shared" si="0"/>
        <v>79900</v>
      </c>
      <c r="P29" s="14">
        <f t="shared" si="0"/>
        <v>84600</v>
      </c>
      <c r="Q29" s="14">
        <f t="shared" si="0"/>
        <v>89300</v>
      </c>
      <c r="R29" s="14">
        <f t="shared" si="0"/>
        <v>94000</v>
      </c>
    </row>
    <row r="30" spans="2:18" x14ac:dyDescent="0.2">
      <c r="B30" s="5">
        <v>480</v>
      </c>
      <c r="C30" s="9">
        <f t="shared" si="2"/>
        <v>180</v>
      </c>
      <c r="F30" s="21"/>
      <c r="G30" s="12">
        <v>480</v>
      </c>
      <c r="H30" s="14">
        <f t="shared" si="1"/>
        <v>48000</v>
      </c>
      <c r="I30" s="14">
        <f t="shared" si="0"/>
        <v>52800</v>
      </c>
      <c r="J30" s="14">
        <f t="shared" si="0"/>
        <v>57600</v>
      </c>
      <c r="K30" s="14">
        <f t="shared" si="0"/>
        <v>62400</v>
      </c>
      <c r="L30" s="14">
        <f t="shared" si="0"/>
        <v>67200</v>
      </c>
      <c r="M30" s="14">
        <f t="shared" si="0"/>
        <v>72000</v>
      </c>
      <c r="N30" s="14">
        <f t="shared" si="0"/>
        <v>76800</v>
      </c>
      <c r="O30" s="14">
        <f t="shared" si="0"/>
        <v>81600</v>
      </c>
      <c r="P30" s="14">
        <f t="shared" si="0"/>
        <v>86400</v>
      </c>
      <c r="Q30" s="14">
        <f t="shared" si="0"/>
        <v>91200</v>
      </c>
      <c r="R30" s="14">
        <f t="shared" si="0"/>
        <v>96000</v>
      </c>
    </row>
    <row r="31" spans="2:18" x14ac:dyDescent="0.2">
      <c r="B31" s="5">
        <v>490</v>
      </c>
      <c r="C31" s="9">
        <f t="shared" si="2"/>
        <v>190</v>
      </c>
      <c r="F31" s="21"/>
      <c r="G31" s="12">
        <v>490</v>
      </c>
      <c r="H31" s="14">
        <f t="shared" si="1"/>
        <v>49000</v>
      </c>
      <c r="I31" s="14">
        <f t="shared" si="0"/>
        <v>53900</v>
      </c>
      <c r="J31" s="14">
        <f t="shared" si="0"/>
        <v>58800</v>
      </c>
      <c r="K31" s="14">
        <f t="shared" si="0"/>
        <v>63700</v>
      </c>
      <c r="L31" s="14">
        <f t="shared" si="0"/>
        <v>68600</v>
      </c>
      <c r="M31" s="14">
        <f t="shared" si="0"/>
        <v>73500</v>
      </c>
      <c r="N31" s="14">
        <f t="shared" si="0"/>
        <v>78400</v>
      </c>
      <c r="O31" s="14">
        <f t="shared" si="0"/>
        <v>83300</v>
      </c>
      <c r="P31" s="14">
        <f t="shared" si="0"/>
        <v>88200</v>
      </c>
      <c r="Q31" s="14">
        <f t="shared" si="0"/>
        <v>93100</v>
      </c>
      <c r="R31" s="14">
        <f t="shared" si="0"/>
        <v>98000</v>
      </c>
    </row>
    <row r="32" spans="2:18" x14ac:dyDescent="0.2">
      <c r="B32" s="5">
        <v>500</v>
      </c>
      <c r="C32" s="9">
        <f t="shared" si="2"/>
        <v>200</v>
      </c>
      <c r="F32" s="21"/>
      <c r="G32" s="12">
        <v>500</v>
      </c>
      <c r="H32" s="14">
        <f t="shared" si="1"/>
        <v>50000</v>
      </c>
      <c r="I32" s="14">
        <f t="shared" si="0"/>
        <v>55000</v>
      </c>
      <c r="J32" s="14">
        <f t="shared" si="0"/>
        <v>60000</v>
      </c>
      <c r="K32" s="14">
        <f t="shared" si="0"/>
        <v>65000</v>
      </c>
      <c r="L32" s="14">
        <f t="shared" si="0"/>
        <v>70000</v>
      </c>
      <c r="M32" s="14">
        <f t="shared" si="0"/>
        <v>75000</v>
      </c>
      <c r="N32" s="14">
        <f t="shared" si="0"/>
        <v>80000</v>
      </c>
      <c r="O32" s="14">
        <f t="shared" si="0"/>
        <v>85000</v>
      </c>
      <c r="P32" s="14">
        <f t="shared" si="0"/>
        <v>90000</v>
      </c>
      <c r="Q32" s="14">
        <f t="shared" si="0"/>
        <v>95000</v>
      </c>
      <c r="R32" s="16">
        <f t="shared" si="0"/>
        <v>100000</v>
      </c>
    </row>
    <row r="33" spans="2:18" x14ac:dyDescent="0.2">
      <c r="B33" s="5">
        <v>510</v>
      </c>
      <c r="F33" s="21"/>
      <c r="G33" s="12">
        <v>510</v>
      </c>
      <c r="H33" s="14">
        <f t="shared" si="1"/>
        <v>51000</v>
      </c>
      <c r="I33" s="14">
        <f t="shared" si="0"/>
        <v>56100</v>
      </c>
      <c r="J33" s="14">
        <f t="shared" si="0"/>
        <v>61200</v>
      </c>
      <c r="K33" s="14">
        <f t="shared" si="0"/>
        <v>66300</v>
      </c>
      <c r="L33" s="14">
        <f t="shared" si="0"/>
        <v>71400</v>
      </c>
      <c r="M33" s="14">
        <f>Question_Ans!$G33*Question_Ans!M$21</f>
        <v>76500</v>
      </c>
      <c r="N33" s="14">
        <f t="shared" si="0"/>
        <v>81600</v>
      </c>
      <c r="O33" s="14">
        <f t="shared" si="0"/>
        <v>86700</v>
      </c>
      <c r="P33" s="14">
        <f t="shared" si="0"/>
        <v>91800</v>
      </c>
      <c r="Q33" s="14">
        <f t="shared" si="0"/>
        <v>96900</v>
      </c>
      <c r="R33" s="16">
        <f t="shared" si="0"/>
        <v>102000</v>
      </c>
    </row>
    <row r="34" spans="2:18" x14ac:dyDescent="0.2">
      <c r="B34" s="5">
        <v>520</v>
      </c>
      <c r="F34" s="21"/>
      <c r="G34" s="12">
        <v>520</v>
      </c>
      <c r="H34" s="14">
        <f t="shared" si="1"/>
        <v>52000</v>
      </c>
      <c r="I34" s="14">
        <f t="shared" si="0"/>
        <v>57200</v>
      </c>
      <c r="J34" s="14">
        <f t="shared" si="0"/>
        <v>62400</v>
      </c>
      <c r="K34" s="14">
        <f t="shared" si="0"/>
        <v>67600</v>
      </c>
      <c r="L34" s="14">
        <f t="shared" si="0"/>
        <v>72800</v>
      </c>
      <c r="M34" s="14">
        <f t="shared" si="0"/>
        <v>78000</v>
      </c>
      <c r="N34" s="14">
        <f t="shared" si="0"/>
        <v>83200</v>
      </c>
      <c r="O34" s="14">
        <f t="shared" si="0"/>
        <v>88400</v>
      </c>
      <c r="P34" s="14">
        <f t="shared" si="0"/>
        <v>93600</v>
      </c>
      <c r="Q34" s="14">
        <f t="shared" si="0"/>
        <v>98800</v>
      </c>
      <c r="R34" s="16">
        <f t="shared" si="0"/>
        <v>104000</v>
      </c>
    </row>
    <row r="35" spans="2:18" x14ac:dyDescent="0.2">
      <c r="B35" s="5">
        <v>530</v>
      </c>
      <c r="F35" s="21"/>
      <c r="G35" s="12">
        <v>530</v>
      </c>
      <c r="H35" s="14">
        <f t="shared" si="1"/>
        <v>53000</v>
      </c>
      <c r="I35" s="14">
        <f t="shared" si="0"/>
        <v>58300</v>
      </c>
      <c r="J35" s="14">
        <f t="shared" si="0"/>
        <v>63600</v>
      </c>
      <c r="K35" s="14">
        <f t="shared" si="0"/>
        <v>68900</v>
      </c>
      <c r="L35" s="14">
        <f t="shared" si="0"/>
        <v>74200</v>
      </c>
      <c r="M35" s="14">
        <f t="shared" si="0"/>
        <v>79500</v>
      </c>
      <c r="N35" s="14">
        <f t="shared" si="0"/>
        <v>84800</v>
      </c>
      <c r="O35" s="14">
        <f t="shared" si="0"/>
        <v>90100</v>
      </c>
      <c r="P35" s="14">
        <f t="shared" si="0"/>
        <v>95400</v>
      </c>
      <c r="Q35" s="16">
        <f t="shared" si="0"/>
        <v>100700</v>
      </c>
      <c r="R35" s="16">
        <f t="shared" si="0"/>
        <v>106000</v>
      </c>
    </row>
    <row r="36" spans="2:18" x14ac:dyDescent="0.2">
      <c r="B36" s="5">
        <v>540</v>
      </c>
      <c r="F36" s="21"/>
      <c r="G36" s="12">
        <v>540</v>
      </c>
      <c r="H36" s="14">
        <f t="shared" si="1"/>
        <v>54000</v>
      </c>
      <c r="I36" s="14">
        <f t="shared" si="0"/>
        <v>59400</v>
      </c>
      <c r="J36" s="14">
        <f t="shared" si="0"/>
        <v>64800</v>
      </c>
      <c r="K36" s="14">
        <f t="shared" si="0"/>
        <v>70200</v>
      </c>
      <c r="L36" s="14">
        <f t="shared" si="0"/>
        <v>75600</v>
      </c>
      <c r="M36" s="14">
        <f t="shared" si="0"/>
        <v>81000</v>
      </c>
      <c r="N36" s="14">
        <f t="shared" si="0"/>
        <v>86400</v>
      </c>
      <c r="O36" s="14">
        <f t="shared" si="0"/>
        <v>91800</v>
      </c>
      <c r="P36" s="14">
        <f t="shared" si="0"/>
        <v>97200</v>
      </c>
      <c r="Q36" s="16">
        <f t="shared" si="0"/>
        <v>102600</v>
      </c>
      <c r="R36" s="16">
        <f t="shared" si="0"/>
        <v>108000</v>
      </c>
    </row>
    <row r="37" spans="2:18" x14ac:dyDescent="0.2">
      <c r="B37" s="5">
        <v>550</v>
      </c>
      <c r="F37" s="21"/>
      <c r="G37" s="12">
        <v>550</v>
      </c>
      <c r="H37" s="14">
        <f t="shared" si="1"/>
        <v>55000</v>
      </c>
      <c r="I37" s="14">
        <f t="shared" si="0"/>
        <v>60500</v>
      </c>
      <c r="J37" s="14">
        <f t="shared" si="0"/>
        <v>66000</v>
      </c>
      <c r="K37" s="14">
        <f t="shared" si="0"/>
        <v>71500</v>
      </c>
      <c r="L37" s="14">
        <f t="shared" si="0"/>
        <v>77000</v>
      </c>
      <c r="M37" s="14">
        <f t="shared" si="0"/>
        <v>82500</v>
      </c>
      <c r="N37" s="14">
        <f t="shared" si="0"/>
        <v>88000</v>
      </c>
      <c r="O37" s="14">
        <f t="shared" si="0"/>
        <v>93500</v>
      </c>
      <c r="P37" s="14">
        <f t="shared" si="0"/>
        <v>99000</v>
      </c>
      <c r="Q37" s="16">
        <f t="shared" si="0"/>
        <v>104500</v>
      </c>
      <c r="R37" s="16">
        <f t="shared" si="0"/>
        <v>110000</v>
      </c>
    </row>
    <row r="38" spans="2:18" x14ac:dyDescent="0.2">
      <c r="B38" s="5">
        <v>560</v>
      </c>
      <c r="F38" s="21"/>
      <c r="G38" s="12">
        <v>560</v>
      </c>
      <c r="H38" s="14">
        <f t="shared" si="1"/>
        <v>56000</v>
      </c>
      <c r="I38" s="14">
        <f t="shared" si="1"/>
        <v>61600</v>
      </c>
      <c r="J38" s="14">
        <f t="shared" si="1"/>
        <v>67200</v>
      </c>
      <c r="K38" s="14">
        <f t="shared" si="1"/>
        <v>72800</v>
      </c>
      <c r="L38" s="14">
        <f t="shared" si="1"/>
        <v>78400</v>
      </c>
      <c r="M38" s="14">
        <f t="shared" si="1"/>
        <v>84000</v>
      </c>
      <c r="N38" s="14">
        <f t="shared" si="1"/>
        <v>89600</v>
      </c>
      <c r="O38" s="14">
        <f t="shared" si="1"/>
        <v>95200</v>
      </c>
      <c r="P38" s="16">
        <f t="shared" si="1"/>
        <v>100800</v>
      </c>
      <c r="Q38" s="16">
        <f t="shared" si="1"/>
        <v>106400</v>
      </c>
      <c r="R38" s="16">
        <f t="shared" si="1"/>
        <v>112000</v>
      </c>
    </row>
    <row r="39" spans="2:18" x14ac:dyDescent="0.2">
      <c r="B39" s="5">
        <v>570</v>
      </c>
      <c r="F39" s="21"/>
      <c r="G39" s="12">
        <v>570</v>
      </c>
      <c r="H39" s="14">
        <f t="shared" ref="H39:R42" si="3">$G39*H$21</f>
        <v>57000</v>
      </c>
      <c r="I39" s="14">
        <f t="shared" si="3"/>
        <v>62700</v>
      </c>
      <c r="J39" s="14">
        <f t="shared" si="3"/>
        <v>68400</v>
      </c>
      <c r="K39" s="14">
        <f t="shared" si="3"/>
        <v>74100</v>
      </c>
      <c r="L39" s="14">
        <f t="shared" si="3"/>
        <v>79800</v>
      </c>
      <c r="M39" s="14">
        <f t="shared" si="3"/>
        <v>85500</v>
      </c>
      <c r="N39" s="14">
        <f t="shared" si="3"/>
        <v>91200</v>
      </c>
      <c r="O39" s="14">
        <f t="shared" si="3"/>
        <v>96900</v>
      </c>
      <c r="P39" s="16">
        <f t="shared" si="3"/>
        <v>102600</v>
      </c>
      <c r="Q39" s="16">
        <f t="shared" si="3"/>
        <v>108300</v>
      </c>
      <c r="R39" s="16">
        <f t="shared" si="3"/>
        <v>114000</v>
      </c>
    </row>
    <row r="40" spans="2:18" x14ac:dyDescent="0.2">
      <c r="B40" s="5">
        <v>580</v>
      </c>
      <c r="F40" s="21"/>
      <c r="G40" s="12">
        <v>580</v>
      </c>
      <c r="H40" s="14">
        <f t="shared" si="3"/>
        <v>58000</v>
      </c>
      <c r="I40" s="14">
        <f t="shared" si="3"/>
        <v>63800</v>
      </c>
      <c r="J40" s="14">
        <f t="shared" si="3"/>
        <v>69600</v>
      </c>
      <c r="K40" s="14">
        <f t="shared" si="3"/>
        <v>75400</v>
      </c>
      <c r="L40" s="14">
        <f t="shared" si="3"/>
        <v>81200</v>
      </c>
      <c r="M40" s="14">
        <f t="shared" si="3"/>
        <v>87000</v>
      </c>
      <c r="N40" s="14">
        <f t="shared" si="3"/>
        <v>92800</v>
      </c>
      <c r="O40" s="14">
        <f t="shared" si="3"/>
        <v>98600</v>
      </c>
      <c r="P40" s="16">
        <f t="shared" si="3"/>
        <v>104400</v>
      </c>
      <c r="Q40" s="16">
        <f t="shared" si="3"/>
        <v>110200</v>
      </c>
      <c r="R40" s="16">
        <f t="shared" si="3"/>
        <v>116000</v>
      </c>
    </row>
    <row r="41" spans="2:18" x14ac:dyDescent="0.2">
      <c r="B41" s="5">
        <v>590</v>
      </c>
      <c r="F41" s="21"/>
      <c r="G41" s="12">
        <v>590</v>
      </c>
      <c r="H41" s="14">
        <f t="shared" si="3"/>
        <v>59000</v>
      </c>
      <c r="I41" s="14">
        <f t="shared" si="3"/>
        <v>64900</v>
      </c>
      <c r="J41" s="14">
        <f t="shared" si="3"/>
        <v>70800</v>
      </c>
      <c r="K41" s="14">
        <f t="shared" si="3"/>
        <v>76700</v>
      </c>
      <c r="L41" s="14">
        <f t="shared" si="3"/>
        <v>82600</v>
      </c>
      <c r="M41" s="14">
        <f t="shared" si="3"/>
        <v>88500</v>
      </c>
      <c r="N41" s="14">
        <f t="shared" si="3"/>
        <v>94400</v>
      </c>
      <c r="O41" s="16">
        <f t="shared" si="3"/>
        <v>100300</v>
      </c>
      <c r="P41" s="16">
        <f t="shared" si="3"/>
        <v>106200</v>
      </c>
      <c r="Q41" s="16">
        <f t="shared" si="3"/>
        <v>112100</v>
      </c>
      <c r="R41" s="16">
        <f t="shared" si="3"/>
        <v>118000</v>
      </c>
    </row>
    <row r="42" spans="2:18" x14ac:dyDescent="0.2">
      <c r="B42" s="5">
        <v>600</v>
      </c>
      <c r="F42" s="21"/>
      <c r="G42" s="12">
        <v>600</v>
      </c>
      <c r="H42" s="14">
        <f t="shared" si="3"/>
        <v>60000</v>
      </c>
      <c r="I42" s="14">
        <f t="shared" si="3"/>
        <v>66000</v>
      </c>
      <c r="J42" s="14">
        <f t="shared" si="3"/>
        <v>72000</v>
      </c>
      <c r="K42" s="14">
        <f t="shared" si="3"/>
        <v>78000</v>
      </c>
      <c r="L42" s="14">
        <f t="shared" si="3"/>
        <v>84000</v>
      </c>
      <c r="M42" s="14">
        <f t="shared" si="3"/>
        <v>90000</v>
      </c>
      <c r="N42" s="14">
        <f t="shared" si="3"/>
        <v>96000</v>
      </c>
      <c r="O42" s="16">
        <f t="shared" si="3"/>
        <v>102000</v>
      </c>
      <c r="P42" s="16">
        <f t="shared" si="3"/>
        <v>108000</v>
      </c>
      <c r="Q42" s="16">
        <f t="shared" si="3"/>
        <v>114000</v>
      </c>
      <c r="R42" s="16">
        <f t="shared" si="3"/>
        <v>120000</v>
      </c>
    </row>
    <row r="43" spans="2:18" x14ac:dyDescent="0.2">
      <c r="K43"/>
    </row>
    <row r="44" spans="2:18" x14ac:dyDescent="0.2">
      <c r="K44"/>
    </row>
    <row r="45" spans="2:18" x14ac:dyDescent="0.2">
      <c r="K45"/>
    </row>
    <row r="46" spans="2:18" x14ac:dyDescent="0.2">
      <c r="K46"/>
    </row>
    <row r="47" spans="2:18" x14ac:dyDescent="0.2">
      <c r="K47"/>
    </row>
    <row r="48" spans="2:18" s="5" customFormat="1" ht="18.75" x14ac:dyDescent="0.3">
      <c r="B48" s="1" t="s">
        <v>8</v>
      </c>
    </row>
    <row r="49" spans="2:10" s="5" customFormat="1" ht="17.45" customHeight="1" x14ac:dyDescent="0.2"/>
    <row r="50" spans="2:10" s="5" customFormat="1" x14ac:dyDescent="0.2">
      <c r="B50" s="5" t="s">
        <v>15</v>
      </c>
    </row>
    <row r="51" spans="2:10" s="5" customFormat="1" ht="22.35" customHeight="1" x14ac:dyDescent="0.2">
      <c r="B51" t="s">
        <v>16</v>
      </c>
      <c r="C51"/>
      <c r="D51"/>
      <c r="F51"/>
      <c r="G51"/>
      <c r="H51"/>
      <c r="I51"/>
      <c r="J51"/>
    </row>
    <row r="52" spans="2:10" s="5" customFormat="1" ht="9.6" customHeight="1" x14ac:dyDescent="0.2">
      <c r="B52"/>
      <c r="C52"/>
      <c r="D52"/>
      <c r="F52"/>
      <c r="G52"/>
      <c r="H52"/>
      <c r="I52"/>
      <c r="J52"/>
    </row>
    <row r="53" spans="2:10" s="5" customFormat="1" x14ac:dyDescent="0.2">
      <c r="B53"/>
      <c r="C53"/>
      <c r="D53"/>
      <c r="F53"/>
      <c r="G53"/>
      <c r="H53"/>
      <c r="I53"/>
      <c r="J53"/>
    </row>
    <row r="54" spans="2:10" s="5" customFormat="1" x14ac:dyDescent="0.2">
      <c r="B54" s="17" t="s">
        <v>9</v>
      </c>
      <c r="C54" s="17"/>
      <c r="D54" s="18">
        <f>SUM(Revenue_Combinations_Ans)</f>
        <v>17325000</v>
      </c>
      <c r="F54"/>
      <c r="G54"/>
      <c r="H54"/>
      <c r="I54"/>
      <c r="J54"/>
    </row>
    <row r="55" spans="2:10" s="5" customFormat="1" x14ac:dyDescent="0.2">
      <c r="B55" s="17" t="s">
        <v>10</v>
      </c>
      <c r="C55" s="17"/>
      <c r="D55" s="18">
        <f>COUNT(Revenue_Combinations_Ans)</f>
        <v>231</v>
      </c>
      <c r="F55"/>
      <c r="G55"/>
      <c r="H55"/>
      <c r="I55"/>
      <c r="J55"/>
    </row>
    <row r="56" spans="2:10" x14ac:dyDescent="0.2">
      <c r="B56" s="17" t="s">
        <v>11</v>
      </c>
      <c r="C56" s="17"/>
      <c r="D56" s="18">
        <f>AVERAGE(Revenue_Combinations_Ans)</f>
        <v>75000</v>
      </c>
    </row>
  </sheetData>
  <mergeCells count="3">
    <mergeCell ref="B10:J17"/>
    <mergeCell ref="G20:Q20"/>
    <mergeCell ref="F23:F4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send_to_problem_1">
                <anchor moveWithCells="1" sizeWithCells="1">
                  <from>
                    <xdr:col>10</xdr:col>
                    <xdr:colOff>371475</xdr:colOff>
                    <xdr:row>8</xdr:row>
                    <xdr:rowOff>66675</xdr:rowOff>
                  </from>
                  <to>
                    <xdr:col>13</xdr:col>
                    <xdr:colOff>47625</xdr:colOff>
                    <xdr:row>10</xdr:row>
                    <xdr:rowOff>66675</xdr:rowOff>
                  </to>
                </anchor>
              </controlPr>
            </control>
          </mc:Choice>
        </mc:AlternateContent>
        <mc:AlternateContent xmlns:mc="http://schemas.openxmlformats.org/markup-compatibility/2006">
          <mc:Choice Requires="x14">
            <control shapeId="3074" r:id="rId5" name="Button 2">
              <controlPr defaultSize="0" print="0" autoFill="0" autoPict="0" macro="[0]!ThisWorkbook.send_to_problem_2">
                <anchor moveWithCells="1" sizeWithCells="1">
                  <from>
                    <xdr:col>10</xdr:col>
                    <xdr:colOff>142875</xdr:colOff>
                    <xdr:row>52</xdr:row>
                    <xdr:rowOff>66675</xdr:rowOff>
                  </from>
                  <to>
                    <xdr:col>12</xdr:col>
                    <xdr:colOff>314325</xdr:colOff>
                    <xdr:row>54</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Cover Page</vt:lpstr>
      <vt:lpstr>Question</vt:lpstr>
      <vt:lpstr>Question_Ans</vt:lpstr>
      <vt:lpstr>revenue_combination</vt:lpstr>
      <vt:lpstr>Revenue_Combinations</vt:lpstr>
      <vt:lpstr>Question!Revenue_Combinations_Ans</vt:lpstr>
      <vt:lpstr>Revenue_Combinations_Ans</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Dennis G Man</dc:creator>
  <cp:lastModifiedBy>Palak Agrawal</cp:lastModifiedBy>
  <cp:lastPrinted>2016-09-26T13:23:13Z</cp:lastPrinted>
  <dcterms:created xsi:type="dcterms:W3CDTF">2014-11-18T17:16:50Z</dcterms:created>
  <dcterms:modified xsi:type="dcterms:W3CDTF">2020-05-15T06:00:45Z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Burgundy</vt:lpwstr>
  </property>
  <property fmtid="{D5CDD505-2E9C-101B-9397-08002B2CF9AE}" pid="5" name="Smrt_WorkbookNumberDisplay">
    <vt:lpwstr>0</vt:lpwstr>
  </property>
  <property fmtid="{D5CDD505-2E9C-101B-9397-08002B2CF9AE}" pid="6" name="Smrt_WorkbookPercentageDisplay">
    <vt:lpwstr>0</vt:lpwstr>
  </property>
</Properties>
</file>